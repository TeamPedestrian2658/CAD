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10800" yWindow="-15" windowWidth="10830" windowHeight="9465" tabRatio="529" activeTab="3"/>
  </bookViews>
  <sheets>
    <sheet name="Formulas" sheetId="7" r:id="rId1"/>
    <sheet name="Specs" sheetId="1" r:id="rId2"/>
    <sheet name="Calculation" sheetId="2" r:id="rId3"/>
    <sheet name="Perfomance" sheetId="5" r:id="rId4"/>
  </sheets>
  <definedNames>
    <definedName name="Current">Perfomance!$K$29</definedName>
    <definedName name="DesignName">Perfomance!$K$4</definedName>
    <definedName name="DesignPower">Perfomance!$K$6</definedName>
    <definedName name="DesignSpeed">Perfomance!$K$7</definedName>
    <definedName name="DesignSpeedUnits">Perfomance!$L$7</definedName>
    <definedName name="DesignTorque">Perfomance!$K$8</definedName>
    <definedName name="DesignTorqueUnits">Perfomance!$L$8</definedName>
    <definedName name="Efficiency">Perfomance!$K$31</definedName>
    <definedName name="Fuse">Perfomance!$B$5</definedName>
    <definedName name="GearEfficiency1">Perfomance!$K$14</definedName>
    <definedName name="GearEfficiency2">Perfomance!$L$14</definedName>
    <definedName name="GearInterfaces1">Perfomance!$K$15</definedName>
    <definedName name="GearInterfaces2">Perfomance!$L$15</definedName>
    <definedName name="GearRatio">Perfomance!$K$32</definedName>
    <definedName name="H_SpecSheetHome">Specs!$B$4</definedName>
    <definedName name="L_GearRatios">OFFSET(#REF!,1,0,Formulas!$B$11,1)</definedName>
    <definedName name="L_Motors">OFFSET(Specs!$A$4,1,0,Formulas!$B$8,1)</definedName>
    <definedName name="L_SpeedUnits">Formulas!$D$7:$D$9</definedName>
    <definedName name="L_TorqueUnits">Formulas!$G$7:$G$10</definedName>
    <definedName name="L_TotalMotorPower">OFFSET(Specs!$U$4,1,0,Formulas!$B$8,1)</definedName>
    <definedName name="Motor">Perfomance!$B$4</definedName>
    <definedName name="MotorsAvailable">Perfomance!$K$13</definedName>
    <definedName name="OperatingVoltage">Perfomance!$B$10</definedName>
    <definedName name="Power">Perfomance!$K$30</definedName>
    <definedName name="_xlnm.Print_Area" localSheetId="3">Perfomance!$A$1:$O$32</definedName>
    <definedName name="Speed">Perfomance!$K$28</definedName>
    <definedName name="T_GearRatios">OFFSET(#REF!,1,0,Formulas!$B$11+1,7)</definedName>
    <definedName name="T_MotorSpecs">OFFSET(Specs!$A$4,1,0,Formulas!$B$8,Formulas!$B$9)</definedName>
    <definedName name="Torque">Perfomance!$K$27</definedName>
    <definedName name="V_MotorCount">Formulas!$B$8</definedName>
    <definedName name="V_QuadA">-Perfomance!$K$23/Perfomance!$D$10</definedName>
    <definedName name="V_QuadB">Perfomance!$K$23</definedName>
    <definedName name="V_QuadC">-Perfomance!$K$18</definedName>
  </definedNames>
  <calcPr calcId="145621"/>
</workbook>
</file>

<file path=xl/calcChain.xml><?xml version="1.0" encoding="utf-8"?>
<calcChain xmlns="http://schemas.openxmlformats.org/spreadsheetml/2006/main">
  <c r="M15" i="1" l="1"/>
  <c r="L15" i="1"/>
  <c r="K15" i="1"/>
  <c r="J15" i="1"/>
  <c r="I15" i="1"/>
  <c r="N15" i="1" s="1"/>
  <c r="P15" i="1" l="1"/>
  <c r="Q15" i="1" s="1"/>
  <c r="R15" i="1" s="1"/>
  <c r="A15" i="1"/>
  <c r="M18" i="1"/>
  <c r="L18" i="1"/>
  <c r="K18" i="1"/>
  <c r="J18" i="1"/>
  <c r="I18" i="1"/>
  <c r="N18" i="1" s="1"/>
  <c r="M17" i="1"/>
  <c r="L17" i="1"/>
  <c r="K17" i="1"/>
  <c r="J17" i="1"/>
  <c r="I17" i="1"/>
  <c r="A17" i="1" s="1"/>
  <c r="M16" i="1"/>
  <c r="L16" i="1"/>
  <c r="K16" i="1"/>
  <c r="J16" i="1"/>
  <c r="I16" i="1"/>
  <c r="N16" i="1" s="1"/>
  <c r="A14" i="1"/>
  <c r="M14" i="1"/>
  <c r="L14" i="1"/>
  <c r="K14" i="1"/>
  <c r="J14" i="1"/>
  <c r="I14" i="1"/>
  <c r="N14" i="1" s="1"/>
  <c r="J6" i="1"/>
  <c r="K6" i="1"/>
  <c r="L6" i="1"/>
  <c r="M6" i="1"/>
  <c r="J7" i="1"/>
  <c r="K7" i="1"/>
  <c r="L7" i="1"/>
  <c r="M7" i="1"/>
  <c r="J8" i="1"/>
  <c r="L8" i="1"/>
  <c r="M8" i="1"/>
  <c r="J9" i="1"/>
  <c r="K9" i="1"/>
  <c r="L9" i="1"/>
  <c r="M9" i="1"/>
  <c r="J10" i="1"/>
  <c r="K10" i="1"/>
  <c r="L10" i="1"/>
  <c r="M10" i="1"/>
  <c r="J11" i="1"/>
  <c r="K11" i="1"/>
  <c r="L11" i="1"/>
  <c r="M11" i="1"/>
  <c r="J12" i="1"/>
  <c r="K12" i="1"/>
  <c r="L12" i="1"/>
  <c r="M12" i="1"/>
  <c r="J13" i="1"/>
  <c r="K13" i="1"/>
  <c r="L13" i="1"/>
  <c r="M13" i="1"/>
  <c r="M5" i="1"/>
  <c r="L5" i="1"/>
  <c r="K5" i="1"/>
  <c r="J5" i="1"/>
  <c r="K16" i="5"/>
  <c r="M8" i="5"/>
  <c r="I13" i="1"/>
  <c r="A13" i="1" s="1"/>
  <c r="I12" i="1"/>
  <c r="A12" i="1" s="1"/>
  <c r="I11" i="1"/>
  <c r="A11" i="1" s="1"/>
  <c r="I10" i="1"/>
  <c r="A10" i="1" s="1"/>
  <c r="B11" i="7"/>
  <c r="B8" i="7"/>
  <c r="B9" i="7"/>
  <c r="I9" i="1"/>
  <c r="A9" i="1" s="1"/>
  <c r="C17" i="5"/>
  <c r="C22" i="5"/>
  <c r="C23" i="5"/>
  <c r="I5" i="1"/>
  <c r="A5" i="1" s="1"/>
  <c r="I6" i="1"/>
  <c r="A6" i="1" s="1"/>
  <c r="I7" i="1"/>
  <c r="A7" i="1" s="1"/>
  <c r="F8" i="1"/>
  <c r="I8" i="1" s="1"/>
  <c r="A8" i="1" s="1"/>
  <c r="E7" i="7"/>
  <c r="E8" i="7"/>
  <c r="B10" i="7"/>
  <c r="B12" i="7"/>
  <c r="S15" i="1" l="1"/>
  <c r="U15" i="1" s="1"/>
  <c r="P18" i="1"/>
  <c r="Q18" i="1" s="1"/>
  <c r="R18" i="1" s="1"/>
  <c r="S18" i="1" s="1"/>
  <c r="U18" i="1" s="1"/>
  <c r="A18" i="1"/>
  <c r="N17" i="1"/>
  <c r="P17" i="1"/>
  <c r="Q17" i="1" s="1"/>
  <c r="R17" i="1" s="1"/>
  <c r="P16" i="1"/>
  <c r="Q16" i="1" s="1"/>
  <c r="R16" i="1" s="1"/>
  <c r="A16" i="1"/>
  <c r="P10" i="1"/>
  <c r="Q10" i="1" s="1"/>
  <c r="P14" i="1"/>
  <c r="Q14" i="1" s="1"/>
  <c r="R14" i="1" s="1"/>
  <c r="S14" i="1" s="1"/>
  <c r="P5" i="1"/>
  <c r="Q5" i="1" s="1"/>
  <c r="N13" i="1"/>
  <c r="P6" i="1"/>
  <c r="Q6" i="1" s="1"/>
  <c r="P13" i="1"/>
  <c r="Q13" i="1" s="1"/>
  <c r="R13" i="1" s="1"/>
  <c r="P12" i="1"/>
  <c r="Q12" i="1" s="1"/>
  <c r="P11" i="1"/>
  <c r="Q11" i="1" s="1"/>
  <c r="R11" i="1" s="1"/>
  <c r="P9" i="1"/>
  <c r="Q9" i="1" s="1"/>
  <c r="R9" i="1" s="1"/>
  <c r="N6" i="1"/>
  <c r="N8" i="1"/>
  <c r="N10" i="1"/>
  <c r="N12" i="1"/>
  <c r="K8" i="1"/>
  <c r="P7" i="1"/>
  <c r="Q7" i="1" s="1"/>
  <c r="R7" i="1" s="1"/>
  <c r="N5" i="1"/>
  <c r="N7" i="1"/>
  <c r="N9" i="1"/>
  <c r="N11" i="1"/>
  <c r="M7" i="5"/>
  <c r="M9" i="5" s="1"/>
  <c r="K17" i="5" s="1"/>
  <c r="K22" i="5"/>
  <c r="S17" i="1" l="1"/>
  <c r="U17" i="1" s="1"/>
  <c r="S16" i="1"/>
  <c r="U16" i="1" s="1"/>
  <c r="R10" i="1"/>
  <c r="S10" i="1" s="1"/>
  <c r="U10" i="1" s="1"/>
  <c r="S13" i="1"/>
  <c r="U13" i="1" s="1"/>
  <c r="S9" i="1"/>
  <c r="U9" i="1" s="1"/>
  <c r="S11" i="1"/>
  <c r="U11" i="1" s="1"/>
  <c r="U14" i="1"/>
  <c r="S7" i="1"/>
  <c r="R5" i="1"/>
  <c r="S5" i="1" s="1"/>
  <c r="U5" i="1" s="1"/>
  <c r="R6" i="1"/>
  <c r="S6" i="1" s="1"/>
  <c r="U6" i="1" s="1"/>
  <c r="R12" i="1"/>
  <c r="S12" i="1" s="1"/>
  <c r="K18" i="5"/>
  <c r="P8" i="1"/>
  <c r="Q8" i="1" s="1"/>
  <c r="U12" i="1" l="1"/>
  <c r="U7" i="1"/>
  <c r="R8" i="1"/>
  <c r="S8" i="1" s="1"/>
  <c r="U8" i="1" l="1"/>
  <c r="U3" i="1" s="1"/>
  <c r="B9" i="5"/>
  <c r="E9" i="5" l="1"/>
  <c r="E10" i="5" s="1"/>
  <c r="D9" i="5"/>
  <c r="D10" i="5" s="1"/>
  <c r="F9" i="5"/>
  <c r="F10" i="5" s="1"/>
  <c r="C9" i="5"/>
  <c r="G9" i="5" l="1"/>
  <c r="C14" i="5"/>
  <c r="E14" i="5"/>
  <c r="E5" i="2"/>
  <c r="C16" i="5"/>
  <c r="A6" i="2"/>
  <c r="B5" i="2"/>
  <c r="C10" i="5"/>
  <c r="D14" i="5" l="1"/>
  <c r="F14" i="5" s="1"/>
  <c r="G14" i="5" s="1"/>
  <c r="D16" i="5"/>
  <c r="D17" i="5" s="1"/>
  <c r="F5" i="2"/>
  <c r="L5" i="2" s="1"/>
  <c r="I5" i="2"/>
  <c r="C24" i="5"/>
  <c r="G10" i="5"/>
  <c r="K23" i="5"/>
  <c r="C5" i="2"/>
  <c r="C6" i="2"/>
  <c r="D6" i="2" s="1"/>
  <c r="A7" i="2"/>
  <c r="B6" i="2"/>
  <c r="E6" i="2"/>
  <c r="E16" i="5"/>
  <c r="E17" i="5" s="1"/>
  <c r="K21" i="5" l="1"/>
  <c r="M21" i="5" s="1"/>
  <c r="F16" i="5"/>
  <c r="F17" i="5" s="1"/>
  <c r="K19" i="5"/>
  <c r="K20" i="5" s="1"/>
  <c r="K27" i="5" s="1"/>
  <c r="F6" i="2"/>
  <c r="L6" i="2" s="1"/>
  <c r="K6" i="2"/>
  <c r="I6" i="2"/>
  <c r="A8" i="2"/>
  <c r="B7" i="2"/>
  <c r="E7" i="2"/>
  <c r="G5" i="2"/>
  <c r="H5" i="2" s="1"/>
  <c r="M5" i="2" s="1"/>
  <c r="D5" i="2"/>
  <c r="K5" i="2" s="1"/>
  <c r="G6" i="2"/>
  <c r="H6" i="2" s="1"/>
  <c r="M6" i="2" s="1"/>
  <c r="C7" i="2"/>
  <c r="D7" i="2" s="1"/>
  <c r="K30" i="5" l="1"/>
  <c r="M20" i="5"/>
  <c r="K29" i="5"/>
  <c r="K28" i="5"/>
  <c r="K32" i="5"/>
  <c r="C26" i="5"/>
  <c r="C27" i="5" s="1"/>
  <c r="J6" i="2"/>
  <c r="N6" i="2" s="1"/>
  <c r="J5" i="2"/>
  <c r="N5" i="2" s="1"/>
  <c r="I7" i="2"/>
  <c r="F7" i="2"/>
  <c r="L7" i="2" s="1"/>
  <c r="K7" i="2"/>
  <c r="A9" i="2"/>
  <c r="B8" i="2"/>
  <c r="E8" i="2"/>
  <c r="C8" i="2"/>
  <c r="D8" i="2" s="1"/>
  <c r="G7" i="2"/>
  <c r="H7" i="2" s="1"/>
  <c r="M7" i="2" s="1"/>
  <c r="K31" i="5" l="1"/>
  <c r="J7" i="2"/>
  <c r="N7" i="2" s="1"/>
  <c r="G8" i="2"/>
  <c r="H8" i="2" s="1"/>
  <c r="M8" i="2" s="1"/>
  <c r="I8" i="2"/>
  <c r="F8" i="2"/>
  <c r="L8" i="2" s="1"/>
  <c r="K8" i="2"/>
  <c r="A10" i="2"/>
  <c r="B9" i="2"/>
  <c r="C9" i="2"/>
  <c r="D9" i="2" s="1"/>
  <c r="E9" i="2"/>
  <c r="G9" i="2" l="1"/>
  <c r="H9" i="2" s="1"/>
  <c r="M9" i="2" s="1"/>
  <c r="J8" i="2"/>
  <c r="N8" i="2" s="1"/>
  <c r="A11" i="2"/>
  <c r="B10" i="2"/>
  <c r="E10" i="2"/>
  <c r="C10" i="2"/>
  <c r="D10" i="2" s="1"/>
  <c r="K9" i="2"/>
  <c r="I9" i="2"/>
  <c r="F9" i="2"/>
  <c r="L9" i="2" s="1"/>
  <c r="J9" i="2" l="1"/>
  <c r="N9" i="2" s="1"/>
  <c r="G10" i="2"/>
  <c r="H10" i="2" s="1"/>
  <c r="M10" i="2" s="1"/>
  <c r="K10" i="2"/>
  <c r="F10" i="2"/>
  <c r="L10" i="2" s="1"/>
  <c r="I10" i="2"/>
  <c r="A12" i="2"/>
  <c r="E11" i="2"/>
  <c r="B11" i="2"/>
  <c r="C11" i="2"/>
  <c r="D11" i="2" s="1"/>
  <c r="J10" i="2" l="1"/>
  <c r="N10" i="2" s="1"/>
  <c r="K11" i="2"/>
  <c r="F11" i="2"/>
  <c r="L11" i="2" s="1"/>
  <c r="I11" i="2"/>
  <c r="A13" i="2"/>
  <c r="B12" i="2"/>
  <c r="E12" i="2"/>
  <c r="C12" i="2"/>
  <c r="D12" i="2" s="1"/>
  <c r="G11" i="2"/>
  <c r="H11" i="2" s="1"/>
  <c r="M11" i="2" s="1"/>
  <c r="J11" i="2" l="1"/>
  <c r="N11" i="2" s="1"/>
  <c r="I12" i="2"/>
  <c r="F12" i="2"/>
  <c r="L12" i="2" s="1"/>
  <c r="K12" i="2"/>
  <c r="A14" i="2"/>
  <c r="E13" i="2"/>
  <c r="B13" i="2"/>
  <c r="C13" i="2"/>
  <c r="D13" i="2" s="1"/>
  <c r="G12" i="2"/>
  <c r="H12" i="2" s="1"/>
  <c r="M12" i="2" s="1"/>
  <c r="G13" i="2" l="1"/>
  <c r="H13" i="2" s="1"/>
  <c r="M13" i="2" s="1"/>
  <c r="J12" i="2"/>
  <c r="N12" i="2" s="1"/>
  <c r="K13" i="2"/>
  <c r="F13" i="2"/>
  <c r="L13" i="2" s="1"/>
  <c r="I13" i="2"/>
  <c r="A15" i="2"/>
  <c r="C14" i="2"/>
  <c r="D14" i="2" s="1"/>
  <c r="E14" i="2"/>
  <c r="B14" i="2"/>
  <c r="J13" i="2" l="1"/>
  <c r="N13" i="2" s="1"/>
  <c r="K14" i="2"/>
  <c r="F14" i="2"/>
  <c r="L14" i="2" s="1"/>
  <c r="I14" i="2"/>
  <c r="A16" i="2"/>
  <c r="B15" i="2"/>
  <c r="C15" i="2"/>
  <c r="D15" i="2" s="1"/>
  <c r="E15" i="2"/>
  <c r="G14" i="2"/>
  <c r="H14" i="2" s="1"/>
  <c r="M14" i="2" s="1"/>
  <c r="G15" i="2" l="1"/>
  <c r="H15" i="2" s="1"/>
  <c r="M15" i="2" s="1"/>
  <c r="J14" i="2"/>
  <c r="N14" i="2" s="1"/>
  <c r="K15" i="2"/>
  <c r="I15" i="2"/>
  <c r="F15" i="2"/>
  <c r="L15" i="2" s="1"/>
  <c r="A17" i="2"/>
  <c r="B16" i="2"/>
  <c r="C16" i="2"/>
  <c r="D16" i="2" s="1"/>
  <c r="E16" i="2"/>
  <c r="J15" i="2" l="1"/>
  <c r="N15" i="2" s="1"/>
  <c r="G16" i="2"/>
  <c r="H16" i="2" s="1"/>
  <c r="M16" i="2" s="1"/>
  <c r="K16" i="2"/>
  <c r="I16" i="2"/>
  <c r="F16" i="2"/>
  <c r="L16" i="2" s="1"/>
  <c r="A18" i="2"/>
  <c r="C17" i="2"/>
  <c r="D17" i="2" s="1"/>
  <c r="B17" i="2"/>
  <c r="E17" i="2"/>
  <c r="J16" i="2" l="1"/>
  <c r="N16" i="2" s="1"/>
  <c r="G17" i="2"/>
  <c r="H17" i="2" s="1"/>
  <c r="M17" i="2" s="1"/>
  <c r="A19" i="2"/>
  <c r="B18" i="2"/>
  <c r="E18" i="2"/>
  <c r="C18" i="2"/>
  <c r="D18" i="2" s="1"/>
  <c r="K17" i="2"/>
  <c r="F17" i="2"/>
  <c r="L17" i="2" s="1"/>
  <c r="I17" i="2"/>
  <c r="J17" i="2" l="1"/>
  <c r="N17" i="2" s="1"/>
  <c r="G18" i="2"/>
  <c r="H18" i="2" s="1"/>
  <c r="M18" i="2" s="1"/>
  <c r="K18" i="2"/>
  <c r="I18" i="2"/>
  <c r="F18" i="2"/>
  <c r="L18" i="2" s="1"/>
  <c r="A20" i="2"/>
  <c r="B19" i="2"/>
  <c r="E19" i="2"/>
  <c r="C19" i="2"/>
  <c r="D19" i="2" s="1"/>
  <c r="J18" i="2" l="1"/>
  <c r="N18" i="2" s="1"/>
  <c r="I19" i="2"/>
  <c r="F19" i="2"/>
  <c r="L19" i="2" s="1"/>
  <c r="K19" i="2"/>
  <c r="A21" i="2"/>
  <c r="B20" i="2"/>
  <c r="E20" i="2"/>
  <c r="C20" i="2"/>
  <c r="D20" i="2" s="1"/>
  <c r="G19" i="2"/>
  <c r="H19" i="2" s="1"/>
  <c r="M19" i="2" s="1"/>
  <c r="J19" i="2" l="1"/>
  <c r="N19" i="2" s="1"/>
  <c r="F20" i="2"/>
  <c r="L20" i="2" s="1"/>
  <c r="K20" i="2"/>
  <c r="I20" i="2"/>
  <c r="A22" i="2"/>
  <c r="B21" i="2"/>
  <c r="E21" i="2"/>
  <c r="C21" i="2"/>
  <c r="D21" i="2" s="1"/>
  <c r="G20" i="2"/>
  <c r="H20" i="2" s="1"/>
  <c r="M20" i="2" s="1"/>
  <c r="J20" i="2" l="1"/>
  <c r="N20" i="2" s="1"/>
  <c r="I21" i="2"/>
  <c r="F21" i="2"/>
  <c r="L21" i="2" s="1"/>
  <c r="K21" i="2"/>
  <c r="A23" i="2"/>
  <c r="B22" i="2"/>
  <c r="C22" i="2"/>
  <c r="D22" i="2" s="1"/>
  <c r="E22" i="2"/>
  <c r="G21" i="2"/>
  <c r="H21" i="2" s="1"/>
  <c r="M21" i="2" s="1"/>
  <c r="G22" i="2" l="1"/>
  <c r="H22" i="2" s="1"/>
  <c r="M22" i="2" s="1"/>
  <c r="J21" i="2"/>
  <c r="N21" i="2" s="1"/>
  <c r="I22" i="2"/>
  <c r="K22" i="2"/>
  <c r="F22" i="2"/>
  <c r="L22" i="2" s="1"/>
  <c r="A24" i="2"/>
  <c r="C23" i="2"/>
  <c r="D23" i="2" s="1"/>
  <c r="B23" i="2"/>
  <c r="E23" i="2"/>
  <c r="J22" i="2" l="1"/>
  <c r="N22" i="2" s="1"/>
  <c r="K23" i="2"/>
  <c r="I23" i="2"/>
  <c r="F23" i="2"/>
  <c r="L23" i="2" s="1"/>
  <c r="A25" i="2"/>
  <c r="B24" i="2"/>
  <c r="E24" i="2"/>
  <c r="C24" i="2"/>
  <c r="D24" i="2" s="1"/>
  <c r="G23" i="2"/>
  <c r="H23" i="2" s="1"/>
  <c r="M23" i="2" s="1"/>
  <c r="G24" i="2" l="1"/>
  <c r="H24" i="2" s="1"/>
  <c r="M24" i="2" s="1"/>
  <c r="J23" i="2"/>
  <c r="N23" i="2" s="1"/>
  <c r="K24" i="2"/>
  <c r="I24" i="2"/>
  <c r="F24" i="2"/>
  <c r="L24" i="2" s="1"/>
  <c r="A26" i="2"/>
  <c r="B25" i="2"/>
  <c r="C25" i="2"/>
  <c r="D25" i="2" s="1"/>
  <c r="E25" i="2"/>
  <c r="G25" i="2" l="1"/>
  <c r="H25" i="2" s="1"/>
  <c r="M25" i="2" s="1"/>
  <c r="J24" i="2"/>
  <c r="N24" i="2" s="1"/>
  <c r="K25" i="2"/>
  <c r="F25" i="2"/>
  <c r="L25" i="2" s="1"/>
  <c r="I25" i="2"/>
  <c r="A27" i="2"/>
  <c r="C26" i="2"/>
  <c r="D26" i="2" s="1"/>
  <c r="B26" i="2"/>
  <c r="E26" i="2"/>
  <c r="J25" i="2" l="1"/>
  <c r="N25" i="2" s="1"/>
  <c r="F26" i="2"/>
  <c r="L26" i="2" s="1"/>
  <c r="I26" i="2"/>
  <c r="K26" i="2"/>
  <c r="A28" i="2"/>
  <c r="E27" i="2"/>
  <c r="B27" i="2"/>
  <c r="C27" i="2"/>
  <c r="D27" i="2" s="1"/>
  <c r="G26" i="2"/>
  <c r="H26" i="2" s="1"/>
  <c r="M26" i="2" s="1"/>
  <c r="J26" i="2" l="1"/>
  <c r="N26" i="2" s="1"/>
  <c r="F27" i="2"/>
  <c r="L27" i="2" s="1"/>
  <c r="I27" i="2"/>
  <c r="K27" i="2"/>
  <c r="A29" i="2"/>
  <c r="E28" i="2"/>
  <c r="B28" i="2"/>
  <c r="C28" i="2"/>
  <c r="D28" i="2" s="1"/>
  <c r="G27" i="2"/>
  <c r="H27" i="2" s="1"/>
  <c r="M27" i="2" s="1"/>
  <c r="G28" i="2" l="1"/>
  <c r="H28" i="2" s="1"/>
  <c r="M28" i="2" s="1"/>
  <c r="J27" i="2"/>
  <c r="N27" i="2" s="1"/>
  <c r="K28" i="2"/>
  <c r="F28" i="2"/>
  <c r="L28" i="2" s="1"/>
  <c r="I28" i="2"/>
  <c r="A30" i="2"/>
  <c r="C29" i="2"/>
  <c r="D29" i="2" s="1"/>
  <c r="B29" i="2"/>
  <c r="E29" i="2"/>
  <c r="J28" i="2" l="1"/>
  <c r="N28" i="2" s="1"/>
  <c r="I29" i="2"/>
  <c r="K29" i="2"/>
  <c r="F29" i="2"/>
  <c r="L29" i="2" s="1"/>
  <c r="A31" i="2"/>
  <c r="B30" i="2"/>
  <c r="E30" i="2"/>
  <c r="C30" i="2"/>
  <c r="D30" i="2" s="1"/>
  <c r="G29" i="2"/>
  <c r="H29" i="2" s="1"/>
  <c r="M29" i="2" s="1"/>
  <c r="J29" i="2" l="1"/>
  <c r="N29" i="2" s="1"/>
  <c r="I30" i="2"/>
  <c r="K30" i="2"/>
  <c r="F30" i="2"/>
  <c r="L30" i="2" s="1"/>
  <c r="A32" i="2"/>
  <c r="C31" i="2"/>
  <c r="D31" i="2" s="1"/>
  <c r="B31" i="2"/>
  <c r="E31" i="2"/>
  <c r="G30" i="2"/>
  <c r="H30" i="2" s="1"/>
  <c r="M30" i="2" s="1"/>
  <c r="G31" i="2" l="1"/>
  <c r="H31" i="2" s="1"/>
  <c r="M31" i="2" s="1"/>
  <c r="J30" i="2"/>
  <c r="N30" i="2" s="1"/>
  <c r="A33" i="2"/>
  <c r="E32" i="2"/>
  <c r="B32" i="2"/>
  <c r="C32" i="2"/>
  <c r="D32" i="2" s="1"/>
  <c r="F31" i="2"/>
  <c r="L31" i="2" s="1"/>
  <c r="I31" i="2"/>
  <c r="K31" i="2"/>
  <c r="J31" i="2" l="1"/>
  <c r="N31" i="2" s="1"/>
  <c r="G32" i="2"/>
  <c r="H32" i="2" s="1"/>
  <c r="M32" i="2" s="1"/>
  <c r="A34" i="2"/>
  <c r="B33" i="2"/>
  <c r="E33" i="2"/>
  <c r="C33" i="2"/>
  <c r="D33" i="2" s="1"/>
  <c r="K32" i="2"/>
  <c r="I32" i="2"/>
  <c r="F32" i="2"/>
  <c r="L32" i="2" s="1"/>
  <c r="J32" i="2" l="1"/>
  <c r="N32" i="2" s="1"/>
  <c r="G33" i="2"/>
  <c r="H33" i="2" s="1"/>
  <c r="M33" i="2" s="1"/>
  <c r="I33" i="2"/>
  <c r="F33" i="2"/>
  <c r="L33" i="2" s="1"/>
  <c r="K33" i="2"/>
  <c r="A35" i="2"/>
  <c r="B34" i="2"/>
  <c r="C34" i="2"/>
  <c r="D34" i="2" s="1"/>
  <c r="E34" i="2"/>
  <c r="J33" i="2" l="1"/>
  <c r="N33" i="2" s="1"/>
  <c r="G34" i="2"/>
  <c r="H34" i="2" s="1"/>
  <c r="M34" i="2" s="1"/>
  <c r="I34" i="2"/>
  <c r="K34" i="2"/>
  <c r="F34" i="2"/>
  <c r="L34" i="2" s="1"/>
  <c r="A36" i="2"/>
  <c r="C35" i="2"/>
  <c r="D35" i="2" s="1"/>
  <c r="E35" i="2"/>
  <c r="B35" i="2"/>
  <c r="J34" i="2" l="1"/>
  <c r="N34" i="2" s="1"/>
  <c r="I35" i="2"/>
  <c r="K35" i="2"/>
  <c r="F35" i="2"/>
  <c r="L35" i="2" s="1"/>
  <c r="A37" i="2"/>
  <c r="B36" i="2"/>
  <c r="E36" i="2"/>
  <c r="C36" i="2"/>
  <c r="D36" i="2" s="1"/>
  <c r="G35" i="2"/>
  <c r="H35" i="2" s="1"/>
  <c r="M35" i="2" s="1"/>
  <c r="J35" i="2" l="1"/>
  <c r="N35" i="2" s="1"/>
  <c r="F36" i="2"/>
  <c r="L36" i="2" s="1"/>
  <c r="K36" i="2"/>
  <c r="I36" i="2"/>
  <c r="A38" i="2"/>
  <c r="E37" i="2"/>
  <c r="C37" i="2"/>
  <c r="D37" i="2" s="1"/>
  <c r="B37" i="2"/>
  <c r="G36" i="2"/>
  <c r="H36" i="2" s="1"/>
  <c r="M36" i="2" s="1"/>
  <c r="G37" i="2" l="1"/>
  <c r="H37" i="2" s="1"/>
  <c r="M37" i="2" s="1"/>
  <c r="J36" i="2"/>
  <c r="N36" i="2" s="1"/>
  <c r="I37" i="2"/>
  <c r="F37" i="2"/>
  <c r="L37" i="2" s="1"/>
  <c r="K37" i="2"/>
  <c r="A39" i="2"/>
  <c r="B38" i="2"/>
  <c r="E38" i="2"/>
  <c r="C38" i="2"/>
  <c r="D38" i="2" s="1"/>
  <c r="J37" i="2" l="1"/>
  <c r="N37" i="2" s="1"/>
  <c r="G38" i="2"/>
  <c r="H38" i="2" s="1"/>
  <c r="M38" i="2" s="1"/>
  <c r="F38" i="2"/>
  <c r="L38" i="2" s="1"/>
  <c r="K38" i="2"/>
  <c r="I38" i="2"/>
  <c r="A40" i="2"/>
  <c r="C39" i="2"/>
  <c r="D39" i="2" s="1"/>
  <c r="E39" i="2"/>
  <c r="B39" i="2"/>
  <c r="J38" i="2" l="1"/>
  <c r="N38" i="2" s="1"/>
  <c r="G39" i="2"/>
  <c r="H39" i="2" s="1"/>
  <c r="M39" i="2" s="1"/>
  <c r="K39" i="2"/>
  <c r="F39" i="2"/>
  <c r="L39" i="2" s="1"/>
  <c r="I39" i="2"/>
  <c r="A41" i="2"/>
  <c r="E40" i="2"/>
  <c r="B40" i="2"/>
  <c r="C40" i="2"/>
  <c r="D40" i="2" s="1"/>
  <c r="G40" i="2" l="1"/>
  <c r="H40" i="2" s="1"/>
  <c r="M40" i="2" s="1"/>
  <c r="J39" i="2"/>
  <c r="N39" i="2" s="1"/>
  <c r="A42" i="2"/>
  <c r="C41" i="2"/>
  <c r="D41" i="2" s="1"/>
  <c r="B41" i="2"/>
  <c r="E41" i="2"/>
  <c r="F40" i="2"/>
  <c r="L40" i="2" s="1"/>
  <c r="I40" i="2"/>
  <c r="K40" i="2"/>
  <c r="J40" i="2" l="1"/>
  <c r="N40" i="2" s="1"/>
  <c r="K41" i="2"/>
  <c r="I41" i="2"/>
  <c r="F41" i="2"/>
  <c r="L41" i="2" s="1"/>
  <c r="A43" i="2"/>
  <c r="C42" i="2"/>
  <c r="D42" i="2" s="1"/>
  <c r="B42" i="2"/>
  <c r="E42" i="2"/>
  <c r="G41" i="2"/>
  <c r="H41" i="2" s="1"/>
  <c r="M41" i="2" s="1"/>
  <c r="G42" i="2" l="1"/>
  <c r="H42" i="2" s="1"/>
  <c r="M42" i="2" s="1"/>
  <c r="J41" i="2"/>
  <c r="N41" i="2" s="1"/>
  <c r="F42" i="2"/>
  <c r="L42" i="2" s="1"/>
  <c r="K42" i="2"/>
  <c r="I42" i="2"/>
  <c r="A44" i="2"/>
  <c r="B43" i="2"/>
  <c r="E43" i="2"/>
  <c r="C43" i="2"/>
  <c r="D43" i="2" s="1"/>
  <c r="J42" i="2" l="1"/>
  <c r="N42" i="2" s="1"/>
  <c r="I43" i="2"/>
  <c r="K43" i="2"/>
  <c r="F43" i="2"/>
  <c r="L43" i="2" s="1"/>
  <c r="A45" i="2"/>
  <c r="E44" i="2"/>
  <c r="C44" i="2"/>
  <c r="D44" i="2" s="1"/>
  <c r="B44" i="2"/>
  <c r="G43" i="2"/>
  <c r="H43" i="2" s="1"/>
  <c r="M43" i="2" s="1"/>
  <c r="G44" i="2" l="1"/>
  <c r="H44" i="2" s="1"/>
  <c r="M44" i="2" s="1"/>
  <c r="J43" i="2"/>
  <c r="N43" i="2" s="1"/>
  <c r="A46" i="2"/>
  <c r="B45" i="2"/>
  <c r="C45" i="2"/>
  <c r="D45" i="2" s="1"/>
  <c r="E45" i="2"/>
  <c r="I44" i="2"/>
  <c r="K44" i="2"/>
  <c r="F44" i="2"/>
  <c r="L44" i="2" s="1"/>
  <c r="J44" i="2" l="1"/>
  <c r="N44" i="2" s="1"/>
  <c r="G45" i="2"/>
  <c r="H45" i="2" s="1"/>
  <c r="M45" i="2" s="1"/>
  <c r="A47" i="2"/>
  <c r="B46" i="2"/>
  <c r="C46" i="2"/>
  <c r="D46" i="2" s="1"/>
  <c r="E46" i="2"/>
  <c r="K45" i="2"/>
  <c r="F45" i="2"/>
  <c r="L45" i="2" s="1"/>
  <c r="I45" i="2"/>
  <c r="J45" i="2" l="1"/>
  <c r="N45" i="2" s="1"/>
  <c r="G46" i="2"/>
  <c r="H46" i="2" s="1"/>
  <c r="M46" i="2" s="1"/>
  <c r="A48" i="2"/>
  <c r="B47" i="2"/>
  <c r="C47" i="2"/>
  <c r="D47" i="2" s="1"/>
  <c r="E47" i="2"/>
  <c r="F46" i="2"/>
  <c r="L46" i="2" s="1"/>
  <c r="I46" i="2"/>
  <c r="K46" i="2"/>
  <c r="J46" i="2" l="1"/>
  <c r="N46" i="2" s="1"/>
  <c r="G47" i="2"/>
  <c r="H47" i="2" s="1"/>
  <c r="M47" i="2" s="1"/>
  <c r="A49" i="2"/>
  <c r="E48" i="2"/>
  <c r="B48" i="2"/>
  <c r="C48" i="2"/>
  <c r="D48" i="2" s="1"/>
  <c r="I47" i="2"/>
  <c r="K47" i="2"/>
  <c r="F47" i="2"/>
  <c r="L47" i="2" s="1"/>
  <c r="J47" i="2" l="1"/>
  <c r="N47" i="2" s="1"/>
  <c r="G48" i="2"/>
  <c r="H48" i="2" s="1"/>
  <c r="M48" i="2" s="1"/>
  <c r="A50" i="2"/>
  <c r="E49" i="2"/>
  <c r="B49" i="2"/>
  <c r="C49" i="2"/>
  <c r="D49" i="2" s="1"/>
  <c r="I48" i="2"/>
  <c r="K48" i="2"/>
  <c r="F48" i="2"/>
  <c r="L48" i="2" s="1"/>
  <c r="J48" i="2" l="1"/>
  <c r="N48" i="2" s="1"/>
  <c r="G49" i="2"/>
  <c r="H49" i="2" s="1"/>
  <c r="M49" i="2" s="1"/>
  <c r="A51" i="2"/>
  <c r="B50" i="2"/>
  <c r="C50" i="2"/>
  <c r="D50" i="2" s="1"/>
  <c r="E50" i="2"/>
  <c r="F49" i="2"/>
  <c r="L49" i="2" s="1"/>
  <c r="I49" i="2"/>
  <c r="K49" i="2"/>
  <c r="G50" i="2" l="1"/>
  <c r="H50" i="2" s="1"/>
  <c r="M50" i="2" s="1"/>
  <c r="J49" i="2"/>
  <c r="N49" i="2" s="1"/>
  <c r="A52" i="2"/>
  <c r="E51" i="2"/>
  <c r="C51" i="2"/>
  <c r="D51" i="2" s="1"/>
  <c r="B51" i="2"/>
  <c r="K50" i="2"/>
  <c r="I50" i="2"/>
  <c r="F50" i="2"/>
  <c r="L50" i="2" s="1"/>
  <c r="J50" i="2" l="1"/>
  <c r="N50" i="2" s="1"/>
  <c r="G51" i="2"/>
  <c r="H51" i="2" s="1"/>
  <c r="M51" i="2" s="1"/>
  <c r="A53" i="2"/>
  <c r="E52" i="2"/>
  <c r="B52" i="2"/>
  <c r="C52" i="2"/>
  <c r="D52" i="2" s="1"/>
  <c r="F51" i="2"/>
  <c r="L51" i="2" s="1"/>
  <c r="I51" i="2"/>
  <c r="K51" i="2"/>
  <c r="J51" i="2" l="1"/>
  <c r="N51" i="2" s="1"/>
  <c r="G52" i="2"/>
  <c r="H52" i="2" s="1"/>
  <c r="M52" i="2" s="1"/>
  <c r="A54" i="2"/>
  <c r="C53" i="2"/>
  <c r="D53" i="2" s="1"/>
  <c r="B53" i="2"/>
  <c r="E53" i="2"/>
  <c r="K52" i="2"/>
  <c r="I52" i="2"/>
  <c r="F52" i="2"/>
  <c r="L52" i="2" s="1"/>
  <c r="J52" i="2" l="1"/>
  <c r="N52" i="2" s="1"/>
  <c r="G53" i="2"/>
  <c r="H53" i="2" s="1"/>
  <c r="M53" i="2" s="1"/>
  <c r="A55" i="2"/>
  <c r="B54" i="2"/>
  <c r="E54" i="2"/>
  <c r="C54" i="2"/>
  <c r="D54" i="2" s="1"/>
  <c r="F53" i="2"/>
  <c r="L53" i="2" s="1"/>
  <c r="K53" i="2"/>
  <c r="I53" i="2"/>
  <c r="J53" i="2" l="1"/>
  <c r="N53" i="2" s="1"/>
  <c r="G54" i="2"/>
  <c r="H54" i="2" s="1"/>
  <c r="M54" i="2" s="1"/>
  <c r="F54" i="2"/>
  <c r="L54" i="2" s="1"/>
  <c r="I54" i="2"/>
  <c r="K54" i="2"/>
  <c r="E55" i="2"/>
  <c r="C55" i="2"/>
  <c r="D55" i="2" s="1"/>
  <c r="B55" i="2"/>
  <c r="C25" i="5"/>
  <c r="J54" i="2" l="1"/>
  <c r="N54" i="2" s="1"/>
  <c r="G55" i="2"/>
  <c r="H55" i="2" s="1"/>
  <c r="M55" i="2" s="1"/>
  <c r="F55" i="2"/>
  <c r="L55" i="2" s="1"/>
  <c r="I55" i="2"/>
  <c r="K55" i="2"/>
  <c r="G16" i="5"/>
  <c r="G17" i="5" s="1"/>
  <c r="J55" i="2" l="1"/>
  <c r="N55" i="2" s="1"/>
</calcChain>
</file>

<file path=xl/comments1.xml><?xml version="1.0" encoding="utf-8"?>
<comments xmlns="http://schemas.openxmlformats.org/spreadsheetml/2006/main">
  <authors>
    <author>Guest</author>
  </authors>
  <commentList>
    <comment ref="A4" authorId="0">
      <text>
        <r>
          <rPr>
            <sz val="12"/>
            <color indexed="81"/>
            <rFont val="Tahoma"/>
            <family val="2"/>
          </rPr>
          <t xml:space="preserve">
Values incremented from 0 to stall torque.</t>
        </r>
      </text>
    </comment>
    <comment ref="B4" authorId="0">
      <text/>
    </comment>
    <comment ref="C4" authorId="0">
      <text/>
    </comment>
    <comment ref="D4" authorId="0">
      <text/>
    </comment>
    <comment ref="E4" authorId="0">
      <text/>
    </comment>
    <comment ref="F4" authorId="0">
      <text/>
    </comment>
    <comment ref="G4" authorId="0">
      <text>
        <r>
          <rPr>
            <sz val="8"/>
            <color indexed="81"/>
            <rFont val="Tahoma"/>
            <family val="2"/>
          </rPr>
          <t xml:space="preserve">
Note: The last component converts rev/min to rad/sec</t>
        </r>
      </text>
    </comment>
    <comment ref="H4" authorId="0">
      <text/>
    </comment>
    <comment ref="I4" authorId="0">
      <text/>
    </comment>
    <comment ref="J4" authorId="0">
      <text/>
    </comment>
  </commentList>
</comments>
</file>

<file path=xl/comments2.xml><?xml version="1.0" encoding="utf-8"?>
<comments xmlns="http://schemas.openxmlformats.org/spreadsheetml/2006/main">
  <authors>
    <author>Guest</author>
  </authors>
  <commentList>
    <comment ref="G9" authorId="0">
      <text>
        <r>
          <rPr>
            <b/>
            <sz val="8"/>
            <color indexed="81"/>
            <rFont val="Tahoma"/>
            <family val="2"/>
          </rPr>
          <t xml:space="preserve">
</t>
        </r>
        <r>
          <rPr>
            <sz val="8"/>
            <color indexed="81"/>
            <rFont val="Tahoma"/>
            <family val="2"/>
          </rPr>
          <t>Note: The last component converts rev/min to rad/sec</t>
        </r>
      </text>
    </comment>
    <comment ref="C10" authorId="0">
      <text/>
    </comment>
    <comment ref="D10" authorId="0">
      <text/>
    </comment>
    <comment ref="E10" authorId="0">
      <text/>
    </comment>
    <comment ref="F10" authorId="0">
      <text/>
    </comment>
    <comment ref="G10" authorId="0">
      <text>
        <r>
          <rPr>
            <b/>
            <sz val="8"/>
            <color indexed="81"/>
            <rFont val="Tahoma"/>
            <family val="2"/>
          </rPr>
          <t xml:space="preserve">
</t>
        </r>
        <r>
          <rPr>
            <sz val="8"/>
            <color indexed="81"/>
            <rFont val="Tahoma"/>
            <family val="2"/>
          </rPr>
          <t>Note: The last component converts rev/min to rad/sec</t>
        </r>
      </text>
    </comment>
  </commentList>
</comments>
</file>

<file path=xl/sharedStrings.xml><?xml version="1.0" encoding="utf-8"?>
<sst xmlns="http://schemas.openxmlformats.org/spreadsheetml/2006/main" count="179" uniqueCount="143">
  <si>
    <t>Andrew J. Keisic</t>
  </si>
  <si>
    <t>Spec Voltage (V)</t>
  </si>
  <si>
    <t>Free Speed (RPM)</t>
  </si>
  <si>
    <t>Stall Torque (N*m)</t>
  </si>
  <si>
    <t>Stall Current (Amp)</t>
  </si>
  <si>
    <t>Free Current (Amp)</t>
  </si>
  <si>
    <t>Globe Motor (With Gearbox)</t>
  </si>
  <si>
    <t>VEX Motor</t>
  </si>
  <si>
    <t>Motor</t>
  </si>
  <si>
    <t>Current Draw
(Amp)</t>
  </si>
  <si>
    <t>Mechanical Power
(Watts)</t>
  </si>
  <si>
    <t>Electrical Power
(Watts)</t>
  </si>
  <si>
    <t>Motor Description</t>
  </si>
  <si>
    <t>Speed
(RPM)</t>
  </si>
  <si>
    <t>Torque
(N m)</t>
  </si>
  <si>
    <t>Mechanical Power
(% of Max)</t>
  </si>
  <si>
    <t>Torque
 (% of Stall)</t>
  </si>
  <si>
    <t xml:space="preserve">Speed
 (% of Free) </t>
  </si>
  <si>
    <t>Current Draw 
(% of Stall)</t>
  </si>
  <si>
    <t>Efficiency 
(%)</t>
  </si>
  <si>
    <t>%</t>
  </si>
  <si>
    <t>Torque
(N m)</t>
  </si>
  <si>
    <t>Speed
(RPM)</t>
  </si>
  <si>
    <t>Current
(Amp)</t>
  </si>
  <si>
    <t>Power
(Watts)</t>
  </si>
  <si>
    <t>Efficiency
(%)</t>
  </si>
  <si>
    <t>Electrical Motor Calculation Sheet</t>
  </si>
  <si>
    <t>Design</t>
  </si>
  <si>
    <t>Voltage 
(V)</t>
  </si>
  <si>
    <t>Slider Bar</t>
  </si>
  <si>
    <t>Specifications</t>
  </si>
  <si>
    <t>B.S. Aerospace Engineering - Florida Institute of Technology</t>
  </si>
  <si>
    <t>Lead Mentor - Team 294: Beach Cities Robotics</t>
  </si>
  <si>
    <t>Slider Bar Value</t>
  </si>
  <si>
    <t>Condition's Normalized Value</t>
  </si>
  <si>
    <t>Max Power
(Watt)</t>
  </si>
  <si>
    <t>Fuse</t>
  </si>
  <si>
    <t>Amps</t>
  </si>
  <si>
    <t>Design Value 1</t>
  </si>
  <si>
    <t>Design Value 2</t>
  </si>
  <si>
    <t>Fused Value 1</t>
  </si>
  <si>
    <t>Fused Value 2</t>
  </si>
  <si>
    <t>Speed</t>
  </si>
  <si>
    <t>Torque</t>
  </si>
  <si>
    <t>RPM</t>
  </si>
  <si>
    <t>°/sec</t>
  </si>
  <si>
    <t>rad/sec</t>
  </si>
  <si>
    <t>Formulas Sheet</t>
  </si>
  <si>
    <t>in-oz</t>
  </si>
  <si>
    <t>in-lbs</t>
  </si>
  <si>
    <t>ft-lbs</t>
  </si>
  <si>
    <t>N-m</t>
  </si>
  <si>
    <t>Torque Unit Conversion to N-m</t>
  </si>
  <si>
    <t>Speed Unit Conversion to rad/sec</t>
  </si>
  <si>
    <t>Watts</t>
  </si>
  <si>
    <t>Available</t>
  </si>
  <si>
    <t>Power Required per Motor</t>
  </si>
  <si>
    <t>Torque Required per Motor</t>
  </si>
  <si>
    <t>Gear Efficiency</t>
  </si>
  <si>
    <t>Gear Interfaces</t>
  </si>
  <si>
    <t>Motor Quantity</t>
  </si>
  <si>
    <t>Operating Power</t>
  </si>
  <si>
    <t>Preferred Operating Power</t>
  </si>
  <si>
    <t>Description</t>
  </si>
  <si>
    <t>Value</t>
  </si>
  <si>
    <t>Support Values</t>
  </si>
  <si>
    <t>Motor Row Count</t>
  </si>
  <si>
    <t>Motor Col Count</t>
  </si>
  <si>
    <t>Gears Row Count</t>
  </si>
  <si>
    <t>Motor Free Speed</t>
  </si>
  <si>
    <t>Total Power Required</t>
  </si>
  <si>
    <t>Gear Ratio Row Count</t>
  </si>
  <si>
    <t>Fused Condition</t>
  </si>
  <si>
    <t>Power</t>
  </si>
  <si>
    <t>RS555VC-3754</t>
  </si>
  <si>
    <t>RS555SH-2670</t>
  </si>
  <si>
    <t>PITSCO FTC Motor</t>
  </si>
  <si>
    <t>W39083</t>
  </si>
  <si>
    <t>262100-3030/3040</t>
  </si>
  <si>
    <t>RS-545</t>
  </si>
  <si>
    <t>FR801-001</t>
  </si>
  <si>
    <t>Bane Bots</t>
  </si>
  <si>
    <t>Denso Window Motor</t>
  </si>
  <si>
    <t>2.5" CIM</t>
  </si>
  <si>
    <t>Mabuchi Motor</t>
  </si>
  <si>
    <t>Fisher Price</t>
  </si>
  <si>
    <t>00968-9015</t>
  </si>
  <si>
    <t>Part Number</t>
  </si>
  <si>
    <t>409A587</t>
  </si>
  <si>
    <t>276-2163</t>
  </si>
  <si>
    <t>Motor Performance Specs</t>
  </si>
  <si>
    <t>Drop Down</t>
  </si>
  <si>
    <t>Operating Specs</t>
  </si>
  <si>
    <t>Slider Values</t>
  </si>
  <si>
    <t>Team 294: Beach Cities Robotics</t>
  </si>
  <si>
    <t>Motor Performance Analysis</t>
  </si>
  <si>
    <t>Device Requirements</t>
  </si>
  <si>
    <t>Gear Ratio</t>
  </si>
  <si>
    <t>Total Output Power</t>
  </si>
  <si>
    <t>to 1</t>
  </si>
  <si>
    <t>Motor Performance at Device Requirements</t>
  </si>
  <si>
    <t>Current</t>
  </si>
  <si>
    <t>Efficiency</t>
  </si>
  <si>
    <t>Slider Value 1</t>
  </si>
  <si>
    <t>Slider Value 2</t>
  </si>
  <si>
    <t>Overall Gear Efficiency</t>
  </si>
  <si>
    <t>Created by: Andrew J. Keisic</t>
  </si>
  <si>
    <t>Total Available Power</t>
  </si>
  <si>
    <t>NominalPower (W)</t>
  </si>
  <si>
    <t>Spec Information</t>
  </si>
  <si>
    <t>Operating Information</t>
  </si>
  <si>
    <t>Fused Torque (N*m)</t>
  </si>
  <si>
    <t>Fused Speed (RPM)</t>
  </si>
  <si>
    <t>Max Power (W)</t>
  </si>
  <si>
    <t>Fused Power (W)</t>
  </si>
  <si>
    <t>Total Required Motor Power</t>
  </si>
  <si>
    <t>Motor Qty</t>
  </si>
  <si>
    <t>Total Power</t>
  </si>
  <si>
    <t>SUM</t>
  </si>
  <si>
    <t>RS-385</t>
  </si>
  <si>
    <t>Bane Bots (with Gearbox)</t>
  </si>
  <si>
    <t>Design Optimization</t>
  </si>
  <si>
    <t>Data Management</t>
  </si>
  <si>
    <t>The buttons below saves and summarizes different design configurations</t>
  </si>
  <si>
    <t>Scenario Name List</t>
  </si>
  <si>
    <t>andrew 1</t>
  </si>
  <si>
    <t>lori</t>
  </si>
  <si>
    <t>ann</t>
  </si>
  <si>
    <t>dad</t>
  </si>
  <si>
    <t>Scenario Count</t>
  </si>
  <si>
    <t>The buttons below optimize the noted quantity to get the desired operating power</t>
  </si>
  <si>
    <t>The buttons below adjusts the required speed to match the actual gear ratio</t>
  </si>
  <si>
    <t>Actual Gear Ratio</t>
  </si>
  <si>
    <t>Peter</t>
  </si>
  <si>
    <t xml:space="preserve"> </t>
  </si>
  <si>
    <t>RS-775-18</t>
  </si>
  <si>
    <t>Andy mark 9015</t>
  </si>
  <si>
    <t>am-0912</t>
  </si>
  <si>
    <t>PG71 Gearmotor</t>
  </si>
  <si>
    <t>am-0914</t>
  </si>
  <si>
    <t>RS-550</t>
  </si>
  <si>
    <t>Bane Bots (PN RS-550) &lt;245.7W&gt;</t>
  </si>
  <si>
    <t>2nd Disc feeder wheel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</si>
</sst>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.0"/>
    <numFmt numFmtId="166" formatCode="0.0000"/>
    <numFmt numFmtId="167" formatCode="0.0%"/>
  </numFmts>
  <fonts count="16" x14ac:knownFonts="1">
    <font>
      <sz val="10"/>
      <name val="Arial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12"/>
      <color indexed="63"/>
      <name val="Arial"/>
      <family val="2"/>
    </font>
    <font>
      <sz val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2"/>
      <color indexed="81"/>
      <name val="Tahoma"/>
      <family val="2"/>
    </font>
    <font>
      <sz val="8"/>
      <name val="Arial"/>
      <family val="2"/>
    </font>
    <font>
      <b/>
      <sz val="12"/>
      <name val="Arial"/>
      <family val="2"/>
    </font>
    <font>
      <b/>
      <sz val="16"/>
      <name val="Arial"/>
      <family val="2"/>
    </font>
    <font>
      <b/>
      <sz val="8"/>
      <name val="Arial"/>
      <family val="2"/>
    </font>
    <font>
      <sz val="14"/>
      <color theme="0"/>
      <name val="Arial"/>
      <family val="2"/>
    </font>
    <font>
      <b/>
      <sz val="10"/>
      <color theme="0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15"/>
        <bgColor indexed="8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auto="1"/>
      </patternFill>
    </fill>
    <fill>
      <patternFill patternType="solid">
        <fgColor theme="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00B050"/>
        <bgColor indexed="64"/>
      </patternFill>
    </fill>
  </fills>
  <borders count="15">
    <border>
      <left/>
      <right/>
      <top/>
      <bottom/>
      <diagonal/>
    </border>
    <border>
      <left style="thin">
        <color indexed="26"/>
      </left>
      <right style="thin">
        <color indexed="26"/>
      </right>
      <top style="thin">
        <color indexed="26"/>
      </top>
      <bottom style="thin">
        <color indexed="26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6"/>
      </left>
      <right style="thin">
        <color indexed="26"/>
      </right>
      <top/>
      <bottom style="thin">
        <color indexed="26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57">
    <xf numFmtId="0" fontId="0" fillId="0" borderId="0" xfId="0"/>
    <xf numFmtId="0" fontId="4" fillId="2" borderId="2" xfId="0" applyFont="1" applyFill="1" applyBorder="1"/>
    <xf numFmtId="0" fontId="5" fillId="2" borderId="2" xfId="0" applyFont="1" applyFill="1" applyBorder="1"/>
    <xf numFmtId="0" fontId="0" fillId="0" borderId="3" xfId="0" applyBorder="1"/>
    <xf numFmtId="0" fontId="0" fillId="0" borderId="3" xfId="0" applyBorder="1" applyAlignment="1">
      <alignment vertical="center" wrapText="1"/>
    </xf>
    <xf numFmtId="0" fontId="0" fillId="3" borderId="3" xfId="0" applyFill="1" applyBorder="1" applyAlignment="1">
      <alignment horizontal="center" vertical="center" wrapText="1"/>
    </xf>
    <xf numFmtId="9" fontId="0" fillId="3" borderId="3" xfId="1" applyFont="1" applyFill="1" applyBorder="1" applyAlignment="1">
      <alignment horizontal="center" vertical="center" wrapText="1"/>
    </xf>
    <xf numFmtId="0" fontId="2" fillId="3" borderId="4" xfId="0" applyFont="1" applyFill="1" applyBorder="1"/>
    <xf numFmtId="0" fontId="0" fillId="3" borderId="4" xfId="0" applyFill="1" applyBorder="1"/>
    <xf numFmtId="0" fontId="3" fillId="3" borderId="3" xfId="0" applyFont="1" applyFill="1" applyBorder="1" applyAlignment="1">
      <alignment horizontal="center" vertical="center" wrapText="1"/>
    </xf>
    <xf numFmtId="0" fontId="0" fillId="0" borderId="0" xfId="0" applyFill="1" applyBorder="1"/>
    <xf numFmtId="0" fontId="0" fillId="3" borderId="5" xfId="0" applyFill="1" applyBorder="1"/>
    <xf numFmtId="0" fontId="4" fillId="2" borderId="6" xfId="0" applyFont="1" applyFill="1" applyBorder="1"/>
    <xf numFmtId="0" fontId="4" fillId="2" borderId="0" xfId="0" applyFont="1" applyFill="1" applyBorder="1"/>
    <xf numFmtId="0" fontId="2" fillId="3" borderId="5" xfId="0" applyFont="1" applyFill="1" applyBorder="1"/>
    <xf numFmtId="0" fontId="0" fillId="2" borderId="6" xfId="0" applyFill="1" applyBorder="1"/>
    <xf numFmtId="0" fontId="0" fillId="2" borderId="0" xfId="0" applyFill="1" applyBorder="1"/>
    <xf numFmtId="0" fontId="0" fillId="2" borderId="2" xfId="0" applyFill="1" applyBorder="1"/>
    <xf numFmtId="0" fontId="6" fillId="0" borderId="3" xfId="0" applyFont="1" applyFill="1" applyBorder="1"/>
    <xf numFmtId="165" fontId="0" fillId="4" borderId="3" xfId="0" applyNumberFormat="1" applyFill="1" applyBorder="1" applyAlignment="1">
      <alignment vertical="center"/>
    </xf>
    <xf numFmtId="0" fontId="0" fillId="4" borderId="3" xfId="0" applyFill="1" applyBorder="1" applyAlignment="1">
      <alignment vertical="center"/>
    </xf>
    <xf numFmtId="2" fontId="0" fillId="4" borderId="3" xfId="0" applyNumberFormat="1" applyFill="1" applyBorder="1" applyAlignment="1">
      <alignment vertical="center"/>
    </xf>
    <xf numFmtId="0" fontId="0" fillId="0" borderId="0" xfId="0" applyFill="1" applyBorder="1" applyAlignment="1">
      <alignment horizontal="center"/>
    </xf>
    <xf numFmtId="0" fontId="0" fillId="8" borderId="3" xfId="0" applyFill="1" applyBorder="1" applyAlignment="1">
      <alignment horizontal="center" vertical="center" wrapText="1"/>
    </xf>
    <xf numFmtId="164" fontId="0" fillId="0" borderId="1" xfId="0" applyNumberFormat="1" applyBorder="1"/>
    <xf numFmtId="167" fontId="0" fillId="0" borderId="1" xfId="1" applyNumberFormat="1" applyFont="1" applyBorder="1"/>
    <xf numFmtId="1" fontId="0" fillId="0" borderId="1" xfId="0" applyNumberFormat="1" applyBorder="1"/>
    <xf numFmtId="2" fontId="0" fillId="0" borderId="1" xfId="0" applyNumberFormat="1" applyBorder="1"/>
    <xf numFmtId="167" fontId="0" fillId="0" borderId="1" xfId="0" applyNumberFormat="1" applyBorder="1"/>
    <xf numFmtId="164" fontId="0" fillId="0" borderId="9" xfId="0" applyNumberFormat="1" applyBorder="1"/>
    <xf numFmtId="167" fontId="0" fillId="0" borderId="9" xfId="1" applyNumberFormat="1" applyFont="1" applyBorder="1"/>
    <xf numFmtId="1" fontId="0" fillId="0" borderId="9" xfId="0" applyNumberFormat="1" applyBorder="1"/>
    <xf numFmtId="2" fontId="0" fillId="0" borderId="9" xfId="0" applyNumberFormat="1" applyBorder="1"/>
    <xf numFmtId="167" fontId="0" fillId="0" borderId="9" xfId="0" applyNumberFormat="1" applyBorder="1"/>
    <xf numFmtId="0" fontId="6" fillId="5" borderId="3" xfId="0" applyFont="1" applyFill="1" applyBorder="1"/>
    <xf numFmtId="166" fontId="6" fillId="9" borderId="3" xfId="0" applyNumberFormat="1" applyFont="1" applyFill="1" applyBorder="1"/>
    <xf numFmtId="0" fontId="0" fillId="0" borderId="3" xfId="0" applyFill="1" applyBorder="1"/>
    <xf numFmtId="0" fontId="2" fillId="0" borderId="0" xfId="0" applyFont="1" applyFill="1" applyBorder="1"/>
    <xf numFmtId="0" fontId="12" fillId="0" borderId="0" xfId="0" applyFont="1" applyFill="1" applyBorder="1"/>
    <xf numFmtId="0" fontId="10" fillId="3" borderId="5" xfId="0" applyFont="1" applyFill="1" applyBorder="1"/>
    <xf numFmtId="0" fontId="10" fillId="0" borderId="0" xfId="0" applyFont="1" applyFill="1" applyBorder="1"/>
    <xf numFmtId="0" fontId="10" fillId="0" borderId="0" xfId="0" applyFont="1"/>
    <xf numFmtId="0" fontId="10" fillId="6" borderId="3" xfId="0" applyFont="1" applyFill="1" applyBorder="1" applyAlignment="1">
      <alignment vertical="center"/>
    </xf>
    <xf numFmtId="0" fontId="10" fillId="4" borderId="3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0" xfId="0" applyFont="1" applyFill="1" applyBorder="1" applyAlignment="1"/>
    <xf numFmtId="0" fontId="10" fillId="3" borderId="3" xfId="0" applyFont="1" applyFill="1" applyBorder="1" applyAlignment="1">
      <alignment vertical="center"/>
    </xf>
    <xf numFmtId="0" fontId="10" fillId="0" borderId="3" xfId="0" applyFont="1" applyBorder="1" applyAlignment="1">
      <alignment vertical="center"/>
    </xf>
    <xf numFmtId="1" fontId="10" fillId="0" borderId="3" xfId="0" applyNumberFormat="1" applyFont="1" applyBorder="1" applyAlignment="1">
      <alignment vertical="center"/>
    </xf>
    <xf numFmtId="2" fontId="10" fillId="0" borderId="3" xfId="0" applyNumberFormat="1" applyFont="1" applyBorder="1" applyAlignment="1">
      <alignment vertical="center"/>
    </xf>
    <xf numFmtId="165" fontId="10" fillId="0" borderId="3" xfId="0" applyNumberFormat="1" applyFont="1" applyBorder="1" applyAlignment="1">
      <alignment vertical="center"/>
    </xf>
    <xf numFmtId="167" fontId="10" fillId="0" borderId="3" xfId="1" applyNumberFormat="1" applyFont="1" applyBorder="1" applyAlignment="1">
      <alignment vertical="center"/>
    </xf>
    <xf numFmtId="0" fontId="10" fillId="7" borderId="7" xfId="0" applyFont="1" applyFill="1" applyBorder="1" applyAlignment="1">
      <alignment horizontal="center" vertical="center" wrapText="1"/>
    </xf>
    <xf numFmtId="0" fontId="10" fillId="7" borderId="5" xfId="0" applyFont="1" applyFill="1" applyBorder="1" applyAlignment="1">
      <alignment horizontal="center" vertical="center" wrapText="1"/>
    </xf>
    <xf numFmtId="0" fontId="10" fillId="7" borderId="8" xfId="0" applyFont="1" applyFill="1" applyBorder="1" applyAlignment="1">
      <alignment horizontal="center" vertical="center" wrapText="1"/>
    </xf>
    <xf numFmtId="0" fontId="10" fillId="0" borderId="0" xfId="0" applyFont="1" applyBorder="1"/>
    <xf numFmtId="0" fontId="10" fillId="3" borderId="3" xfId="0" applyFont="1" applyFill="1" applyBorder="1" applyAlignment="1">
      <alignment horizontal="center"/>
    </xf>
    <xf numFmtId="0" fontId="10" fillId="3" borderId="3" xfId="0" applyFont="1" applyFill="1" applyBorder="1"/>
    <xf numFmtId="0" fontId="10" fillId="0" borderId="3" xfId="1" applyNumberFormat="1" applyFont="1" applyFill="1" applyBorder="1"/>
    <xf numFmtId="0" fontId="10" fillId="0" borderId="3" xfId="0" applyFont="1" applyBorder="1"/>
    <xf numFmtId="0" fontId="10" fillId="0" borderId="3" xfId="0" applyFont="1" applyFill="1" applyBorder="1"/>
    <xf numFmtId="0" fontId="11" fillId="3" borderId="5" xfId="0" applyFont="1" applyFill="1" applyBorder="1"/>
    <xf numFmtId="0" fontId="10" fillId="0" borderId="2" xfId="0" applyFont="1" applyFill="1" applyBorder="1"/>
    <xf numFmtId="0" fontId="10" fillId="0" borderId="2" xfId="0" applyFont="1" applyBorder="1"/>
    <xf numFmtId="0" fontId="10" fillId="6" borderId="3" xfId="0" applyFont="1" applyFill="1" applyBorder="1"/>
    <xf numFmtId="9" fontId="10" fillId="10" borderId="3" xfId="0" applyNumberFormat="1" applyFont="1" applyFill="1" applyBorder="1"/>
    <xf numFmtId="0" fontId="10" fillId="10" borderId="3" xfId="0" applyFont="1" applyFill="1" applyBorder="1"/>
    <xf numFmtId="0" fontId="10" fillId="10" borderId="7" xfId="0" applyFont="1" applyFill="1" applyBorder="1"/>
    <xf numFmtId="2" fontId="10" fillId="5" borderId="3" xfId="0" applyNumberFormat="1" applyFont="1" applyFill="1" applyBorder="1"/>
    <xf numFmtId="0" fontId="10" fillId="5" borderId="3" xfId="0" applyFont="1" applyFill="1" applyBorder="1"/>
    <xf numFmtId="0" fontId="10" fillId="11" borderId="3" xfId="0" applyFont="1" applyFill="1" applyBorder="1"/>
    <xf numFmtId="0" fontId="10" fillId="10" borderId="3" xfId="0" applyFont="1" applyFill="1" applyBorder="1" applyAlignment="1">
      <alignment vertical="center"/>
    </xf>
    <xf numFmtId="9" fontId="10" fillId="10" borderId="3" xfId="0" applyNumberFormat="1" applyFont="1" applyFill="1" applyBorder="1" applyAlignment="1">
      <alignment vertical="center"/>
    </xf>
    <xf numFmtId="0" fontId="10" fillId="11" borderId="3" xfId="0" applyFont="1" applyFill="1" applyBorder="1" applyAlignment="1">
      <alignment vertical="center"/>
    </xf>
    <xf numFmtId="9" fontId="10" fillId="5" borderId="3" xfId="0" applyNumberFormat="1" applyFont="1" applyFill="1" applyBorder="1" applyAlignment="1">
      <alignment vertical="center"/>
    </xf>
    <xf numFmtId="2" fontId="10" fillId="11" borderId="3" xfId="0" applyNumberFormat="1" applyFont="1" applyFill="1" applyBorder="1" applyAlignment="1">
      <alignment vertical="center"/>
    </xf>
    <xf numFmtId="2" fontId="10" fillId="0" borderId="0" xfId="0" applyNumberFormat="1" applyFont="1" applyFill="1" applyBorder="1"/>
    <xf numFmtId="2" fontId="13" fillId="0" borderId="0" xfId="0" applyNumberFormat="1" applyFont="1" applyFill="1" applyBorder="1"/>
    <xf numFmtId="167" fontId="10" fillId="5" borderId="3" xfId="0" applyNumberFormat="1" applyFont="1" applyFill="1" applyBorder="1"/>
    <xf numFmtId="0" fontId="13" fillId="0" borderId="0" xfId="0" applyFont="1"/>
    <xf numFmtId="0" fontId="10" fillId="3" borderId="7" xfId="0" applyFont="1" applyFill="1" applyBorder="1"/>
    <xf numFmtId="0" fontId="10" fillId="0" borderId="11" xfId="0" applyFont="1" applyBorder="1"/>
    <xf numFmtId="0" fontId="6" fillId="12" borderId="6" xfId="0" applyFont="1" applyFill="1" applyBorder="1"/>
    <xf numFmtId="0" fontId="6" fillId="12" borderId="6" xfId="0" applyFont="1" applyFill="1" applyBorder="1" applyAlignment="1">
      <alignment horizontal="right"/>
    </xf>
    <xf numFmtId="0" fontId="6" fillId="12" borderId="10" xfId="0" applyFont="1" applyFill="1" applyBorder="1"/>
    <xf numFmtId="0" fontId="10" fillId="12" borderId="0" xfId="0" applyFont="1" applyFill="1"/>
    <xf numFmtId="0" fontId="0" fillId="0" borderId="4" xfId="0" applyFill="1" applyBorder="1"/>
    <xf numFmtId="0" fontId="0" fillId="0" borderId="6" xfId="0" applyFill="1" applyBorder="1"/>
    <xf numFmtId="0" fontId="0" fillId="0" borderId="0" xfId="0" applyFill="1"/>
    <xf numFmtId="0" fontId="0" fillId="0" borderId="0" xfId="0" applyFill="1" applyAlignment="1">
      <alignment horizontal="center" vertical="center" wrapText="1"/>
    </xf>
    <xf numFmtId="0" fontId="6" fillId="12" borderId="5" xfId="0" applyFont="1" applyFill="1" applyBorder="1"/>
    <xf numFmtId="0" fontId="10" fillId="12" borderId="5" xfId="0" applyFont="1" applyFill="1" applyBorder="1"/>
    <xf numFmtId="0" fontId="6" fillId="12" borderId="7" xfId="0" applyFont="1" applyFill="1" applyBorder="1"/>
    <xf numFmtId="0" fontId="6" fillId="12" borderId="5" xfId="0" applyFont="1" applyFill="1" applyBorder="1" applyAlignment="1">
      <alignment horizontal="right"/>
    </xf>
    <xf numFmtId="165" fontId="10" fillId="5" borderId="3" xfId="0" applyNumberFormat="1" applyFont="1" applyFill="1" applyBorder="1"/>
    <xf numFmtId="0" fontId="10" fillId="3" borderId="12" xfId="0" applyFont="1" applyFill="1" applyBorder="1" applyAlignment="1">
      <alignment horizontal="center" vertical="center"/>
    </xf>
    <xf numFmtId="165" fontId="10" fillId="13" borderId="3" xfId="0" applyNumberFormat="1" applyFont="1" applyFill="1" applyBorder="1" applyAlignment="1">
      <alignment horizontal="center" vertical="center"/>
    </xf>
    <xf numFmtId="164" fontId="10" fillId="13" borderId="3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0" fillId="0" borderId="11" xfId="0" applyFont="1" applyBorder="1" applyAlignment="1">
      <alignment horizontal="left" vertical="center"/>
    </xf>
    <xf numFmtId="1" fontId="10" fillId="13" borderId="3" xfId="0" applyNumberFormat="1" applyFont="1" applyFill="1" applyBorder="1" applyAlignment="1">
      <alignment horizontal="center" vertical="center"/>
    </xf>
    <xf numFmtId="165" fontId="10" fillId="13" borderId="12" xfId="0" applyNumberFormat="1" applyFont="1" applyFill="1" applyBorder="1" applyAlignment="1">
      <alignment horizontal="center" vertical="center"/>
    </xf>
    <xf numFmtId="167" fontId="10" fillId="13" borderId="12" xfId="0" applyNumberFormat="1" applyFont="1" applyFill="1" applyBorder="1" applyAlignment="1">
      <alignment horizontal="center" vertical="center"/>
    </xf>
    <xf numFmtId="0" fontId="10" fillId="3" borderId="3" xfId="0" applyFont="1" applyFill="1" applyBorder="1" applyAlignment="1">
      <alignment horizontal="center" vertical="center"/>
    </xf>
    <xf numFmtId="2" fontId="10" fillId="0" borderId="3" xfId="0" applyNumberFormat="1" applyFont="1" applyFill="1" applyBorder="1"/>
    <xf numFmtId="165" fontId="10" fillId="0" borderId="3" xfId="0" applyNumberFormat="1" applyFont="1" applyFill="1" applyBorder="1" applyAlignment="1">
      <alignment vertical="center"/>
    </xf>
    <xf numFmtId="165" fontId="10" fillId="0" borderId="3" xfId="1" applyNumberFormat="1" applyFont="1" applyFill="1" applyBorder="1" applyAlignment="1">
      <alignment vertical="center"/>
    </xf>
    <xf numFmtId="167" fontId="10" fillId="0" borderId="3" xfId="0" applyNumberFormat="1" applyFont="1" applyFill="1" applyBorder="1" applyAlignment="1">
      <alignment vertical="center"/>
    </xf>
    <xf numFmtId="2" fontId="10" fillId="15" borderId="3" xfId="0" applyNumberFormat="1" applyFont="1" applyFill="1" applyBorder="1" applyAlignment="1">
      <alignment vertical="center"/>
    </xf>
    <xf numFmtId="165" fontId="10" fillId="15" borderId="3" xfId="0" applyNumberFormat="1" applyFont="1" applyFill="1" applyBorder="1" applyAlignment="1">
      <alignment vertical="center"/>
    </xf>
    <xf numFmtId="167" fontId="10" fillId="15" borderId="3" xfId="0" applyNumberFormat="1" applyFont="1" applyFill="1" applyBorder="1" applyAlignment="1">
      <alignment vertical="center"/>
    </xf>
    <xf numFmtId="0" fontId="0" fillId="0" borderId="3" xfId="0" applyFill="1" applyBorder="1" applyAlignment="1">
      <alignment vertical="center" wrapText="1"/>
    </xf>
    <xf numFmtId="1" fontId="0" fillId="4" borderId="3" xfId="0" applyNumberFormat="1" applyFill="1" applyBorder="1" applyAlignment="1">
      <alignment vertical="center"/>
    </xf>
    <xf numFmtId="0" fontId="0" fillId="0" borderId="14" xfId="0" applyFill="1" applyBorder="1" applyAlignment="1">
      <alignment vertical="center" wrapText="1"/>
    </xf>
    <xf numFmtId="0" fontId="0" fillId="0" borderId="14" xfId="0" applyBorder="1" applyAlignment="1">
      <alignment vertical="center" wrapText="1"/>
    </xf>
    <xf numFmtId="165" fontId="0" fillId="4" borderId="14" xfId="0" applyNumberFormat="1" applyFill="1" applyBorder="1" applyAlignment="1">
      <alignment vertical="center"/>
    </xf>
    <xf numFmtId="0" fontId="0" fillId="4" borderId="14" xfId="0" applyFill="1" applyBorder="1" applyAlignment="1">
      <alignment vertical="center"/>
    </xf>
    <xf numFmtId="2" fontId="0" fillId="4" borderId="14" xfId="0" applyNumberFormat="1" applyFill="1" applyBorder="1" applyAlignment="1">
      <alignment vertical="center"/>
    </xf>
    <xf numFmtId="2" fontId="0" fillId="0" borderId="14" xfId="0" applyNumberFormat="1" applyFill="1" applyBorder="1" applyAlignment="1">
      <alignment vertical="center"/>
    </xf>
    <xf numFmtId="1" fontId="0" fillId="15" borderId="14" xfId="0" applyNumberFormat="1" applyFill="1" applyBorder="1" applyAlignment="1">
      <alignment vertical="center"/>
    </xf>
    <xf numFmtId="2" fontId="0" fillId="15" borderId="14" xfId="0" applyNumberFormat="1" applyFill="1" applyBorder="1" applyAlignment="1">
      <alignment vertical="center"/>
    </xf>
    <xf numFmtId="1" fontId="0" fillId="4" borderId="14" xfId="0" applyNumberFormat="1" applyFill="1" applyBorder="1" applyAlignment="1">
      <alignment vertical="center"/>
    </xf>
    <xf numFmtId="1" fontId="0" fillId="0" borderId="14" xfId="0" applyNumberFormat="1" applyFill="1" applyBorder="1" applyAlignment="1">
      <alignment vertical="center"/>
    </xf>
    <xf numFmtId="165" fontId="0" fillId="0" borderId="14" xfId="0" applyNumberFormat="1" applyFill="1" applyBorder="1" applyAlignment="1">
      <alignment vertical="center"/>
    </xf>
    <xf numFmtId="165" fontId="0" fillId="0" borderId="3" xfId="0" applyNumberFormat="1" applyFill="1" applyBorder="1" applyAlignment="1">
      <alignment vertical="center"/>
    </xf>
    <xf numFmtId="165" fontId="0" fillId="15" borderId="14" xfId="0" applyNumberFormat="1" applyFill="1" applyBorder="1" applyAlignment="1">
      <alignment vertical="center"/>
    </xf>
    <xf numFmtId="165" fontId="0" fillId="15" borderId="3" xfId="0" applyNumberFormat="1" applyFill="1" applyBorder="1" applyAlignment="1">
      <alignment vertical="center"/>
    </xf>
    <xf numFmtId="165" fontId="0" fillId="18" borderId="14" xfId="0" applyNumberFormat="1" applyFill="1" applyBorder="1" applyAlignment="1">
      <alignment vertical="center"/>
    </xf>
    <xf numFmtId="165" fontId="0" fillId="0" borderId="3" xfId="0" applyNumberFormat="1" applyBorder="1" applyAlignment="1">
      <alignment vertical="center"/>
    </xf>
    <xf numFmtId="0" fontId="0" fillId="17" borderId="3" xfId="0" applyFill="1" applyBorder="1" applyAlignment="1">
      <alignment vertical="center"/>
    </xf>
    <xf numFmtId="165" fontId="10" fillId="10" borderId="3" xfId="0" applyNumberFormat="1" applyFont="1" applyFill="1" applyBorder="1"/>
    <xf numFmtId="0" fontId="10" fillId="0" borderId="0" xfId="0" applyFont="1" applyFill="1" applyBorder="1" applyAlignment="1">
      <alignment horizontal="right" vertical="center"/>
    </xf>
    <xf numFmtId="0" fontId="10" fillId="0" borderId="0" xfId="0" applyFont="1" applyAlignment="1">
      <alignment vertical="top" wrapText="1"/>
    </xf>
    <xf numFmtId="0" fontId="15" fillId="22" borderId="3" xfId="0" applyFont="1" applyFill="1" applyBorder="1" applyAlignment="1">
      <alignment horizontal="center" vertical="center"/>
    </xf>
    <xf numFmtId="165" fontId="3" fillId="19" borderId="3" xfId="0" applyNumberFormat="1" applyFont="1" applyFill="1" applyBorder="1" applyAlignment="1">
      <alignment horizontal="center" vertical="center"/>
    </xf>
    <xf numFmtId="0" fontId="1" fillId="0" borderId="0" xfId="0" applyFont="1"/>
    <xf numFmtId="0" fontId="0" fillId="11" borderId="7" xfId="0" applyFill="1" applyBorder="1" applyAlignment="1"/>
    <xf numFmtId="0" fontId="1" fillId="0" borderId="0" xfId="0" applyFont="1" applyFill="1" applyBorder="1"/>
    <xf numFmtId="0" fontId="1" fillId="0" borderId="3" xfId="0" applyFont="1" applyFill="1" applyBorder="1"/>
    <xf numFmtId="0" fontId="0" fillId="11" borderId="3" xfId="0" applyFill="1" applyBorder="1" applyAlignment="1">
      <alignment horizontal="center"/>
    </xf>
    <xf numFmtId="0" fontId="3" fillId="4" borderId="10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12" borderId="10" xfId="0" applyFont="1" applyFill="1" applyBorder="1" applyAlignment="1">
      <alignment horizontal="center" vertical="center"/>
    </xf>
    <xf numFmtId="0" fontId="3" fillId="12" borderId="6" xfId="0" applyFont="1" applyFill="1" applyBorder="1" applyAlignment="1">
      <alignment horizontal="center" vertical="center"/>
    </xf>
    <xf numFmtId="0" fontId="3" fillId="12" borderId="13" xfId="0" applyFont="1" applyFill="1" applyBorder="1" applyAlignment="1">
      <alignment horizontal="center" vertical="center"/>
    </xf>
    <xf numFmtId="0" fontId="10" fillId="3" borderId="3" xfId="0" applyFont="1" applyFill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10" fillId="0" borderId="14" xfId="0" applyFont="1" applyBorder="1" applyAlignment="1">
      <alignment horizontal="center" vertical="center" wrapText="1"/>
    </xf>
    <xf numFmtId="0" fontId="10" fillId="3" borderId="3" xfId="0" applyFont="1" applyFill="1" applyBorder="1" applyAlignment="1">
      <alignment vertical="center"/>
    </xf>
    <xf numFmtId="0" fontId="10" fillId="14" borderId="3" xfId="0" applyFont="1" applyFill="1" applyBorder="1" applyAlignment="1">
      <alignment vertical="center"/>
    </xf>
    <xf numFmtId="0" fontId="14" fillId="20" borderId="3" xfId="0" applyFont="1" applyFill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0" fontId="14" fillId="21" borderId="3" xfId="0" applyFont="1" applyFill="1" applyBorder="1" applyAlignment="1">
      <alignment horizontal="center" vertical="center"/>
    </xf>
    <xf numFmtId="0" fontId="10" fillId="16" borderId="2" xfId="0" applyFont="1" applyFill="1" applyBorder="1" applyAlignment="1">
      <alignment horizontal="center"/>
    </xf>
    <xf numFmtId="0" fontId="10" fillId="4" borderId="3" xfId="0" applyFont="1" applyFill="1" applyBorder="1" applyAlignment="1">
      <alignment vertical="center"/>
    </xf>
    <xf numFmtId="0" fontId="14" fillId="23" borderId="3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7"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indexed="58"/>
        </patternFill>
      </fill>
    </dxf>
    <dxf>
      <fill>
        <patternFill>
          <bgColor theme="9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26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336699"/>
      <rgbColor rgb="00E36C09"/>
      <rgbColor rgb="00ACC8E4"/>
      <rgbColor rgb="00D99694"/>
      <rgbColor rgb="00E5E0EC"/>
      <rgbColor rgb="0095B3D7"/>
      <rgbColor rgb="0029537D"/>
      <rgbColor rgb="00C3D69B"/>
      <rgbColor rgb="00D9E6F3"/>
      <rgbColor rgb="00F2DCDB"/>
      <rgbColor rgb="008064A2"/>
      <rgbColor rgb="00DBE5F1"/>
      <rgbColor rgb="00B7DDE8"/>
      <rgbColor rgb="00EBF1DD"/>
      <rgbColor rgb="00FAC08F"/>
      <rgbColor rgb="00FDEADA"/>
      <rgbColor rgb="00FFFFFF"/>
      <rgbColor rgb="00DBDBDB"/>
      <rgbColor rgb="00B7B7B7"/>
      <rgbColor rgb="00939393"/>
      <rgbColor rgb="006F6F6F"/>
      <rgbColor rgb="004B4B4B"/>
      <rgbColor rgb="00272727"/>
      <rgbColor rgb="00000000"/>
      <rgbColor rgb="00C00000"/>
      <rgbColor rgb="00FF0000"/>
      <rgbColor rgb="00FFC000"/>
      <rgbColor rgb="00FFFF00"/>
      <rgbColor rgb="0092D050"/>
      <rgbColor rgb="0000B050"/>
      <rgbColor rgb="000070C0"/>
      <rgbColor rgb="007030A0"/>
      <rgbColor rgb="00B2A2C7"/>
      <rgbColor rgb="0076923C"/>
      <rgbColor rgb="00953734"/>
      <rgbColor rgb="00366092"/>
      <rgbColor rgb="005F497A"/>
      <rgbColor rgb="001B3753"/>
      <rgbColor rgb="0031859B"/>
      <rgbColor rgb="00E6801E"/>
      <rgbColor rgb="00CCC1D9"/>
      <rgbColor rgb="00D7E3BC"/>
      <rgbColor rgb="00B8CCE4"/>
      <rgbColor rgb="00F0B100"/>
      <rgbColor rgb="00FFE291"/>
      <rgbColor rgb="00FFEFC3"/>
      <rgbColor rgb="00DBEEF3"/>
      <rgbColor rgb="00FBD5B5"/>
      <rgbColor rgb="009BBB59"/>
      <rgbColor rgb="00E5B9B7"/>
      <rgbColor rgb="00C0504D"/>
      <rgbColor rgb="004F81BD"/>
      <rgbColor rgb="00FFCC33"/>
      <rgbColor rgb="0092CDDC"/>
      <rgbColor rgb="004BACC6"/>
      <rgbColor rgb="00F79646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30802701787244"/>
          <c:y val="8.6481962251977351E-2"/>
          <c:w val="0.83718459201060003"/>
          <c:h val="0.71466850393700787"/>
        </c:manualLayout>
      </c:layout>
      <c:scatterChart>
        <c:scatterStyle val="smoothMarker"/>
        <c:varyColors val="0"/>
        <c:ser>
          <c:idx val="2"/>
          <c:order val="0"/>
          <c:tx>
            <c:v>Speed (% of Free)</c:v>
          </c:tx>
          <c:spPr>
            <a:ln w="12700">
              <a:solidFill>
                <a:srgbClr val="00B050"/>
              </a:solidFill>
              <a:prstDash val="solid"/>
            </a:ln>
          </c:spPr>
          <c:marker>
            <c:symbol val="none"/>
          </c:marker>
          <c:xVal>
            <c:numRef>
              <c:f>Calculation!$B$5:$B$55</c:f>
              <c:numCache>
                <c:formatCode>0.0%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xVal>
          <c:yVal>
            <c:numRef>
              <c:f>Calculation!$D$5:$D$55</c:f>
              <c:numCache>
                <c:formatCode>0.0%</c:formatCode>
                <c:ptCount val="51"/>
                <c:pt idx="0">
                  <c:v>1</c:v>
                </c:pt>
                <c:pt idx="1">
                  <c:v>0.98000000000000009</c:v>
                </c:pt>
                <c:pt idx="2">
                  <c:v>0.96</c:v>
                </c:pt>
                <c:pt idx="3">
                  <c:v>0.94</c:v>
                </c:pt>
                <c:pt idx="4">
                  <c:v>0.91999999999999993</c:v>
                </c:pt>
                <c:pt idx="5">
                  <c:v>0.9</c:v>
                </c:pt>
                <c:pt idx="6">
                  <c:v>0.88</c:v>
                </c:pt>
                <c:pt idx="7">
                  <c:v>0.8600000000000001</c:v>
                </c:pt>
                <c:pt idx="8">
                  <c:v>0.84</c:v>
                </c:pt>
                <c:pt idx="9">
                  <c:v>0.82</c:v>
                </c:pt>
                <c:pt idx="10">
                  <c:v>0.8</c:v>
                </c:pt>
                <c:pt idx="11">
                  <c:v>0.78</c:v>
                </c:pt>
                <c:pt idx="12">
                  <c:v>0.76</c:v>
                </c:pt>
                <c:pt idx="13">
                  <c:v>0.74</c:v>
                </c:pt>
                <c:pt idx="14">
                  <c:v>0.72</c:v>
                </c:pt>
                <c:pt idx="15">
                  <c:v>0.7</c:v>
                </c:pt>
                <c:pt idx="16">
                  <c:v>0.68</c:v>
                </c:pt>
                <c:pt idx="17">
                  <c:v>0.66000000000000014</c:v>
                </c:pt>
                <c:pt idx="18">
                  <c:v>0.64</c:v>
                </c:pt>
                <c:pt idx="19">
                  <c:v>0.62</c:v>
                </c:pt>
                <c:pt idx="20">
                  <c:v>0.60000000000000009</c:v>
                </c:pt>
                <c:pt idx="21">
                  <c:v>0.58000000000000018</c:v>
                </c:pt>
                <c:pt idx="22">
                  <c:v>0.56000000000000016</c:v>
                </c:pt>
                <c:pt idx="23">
                  <c:v>0.54000000000000026</c:v>
                </c:pt>
                <c:pt idx="24">
                  <c:v>0.52000000000000024</c:v>
                </c:pt>
                <c:pt idx="25">
                  <c:v>0.50000000000000033</c:v>
                </c:pt>
                <c:pt idx="26">
                  <c:v>0.48000000000000026</c:v>
                </c:pt>
                <c:pt idx="27">
                  <c:v>0.46000000000000035</c:v>
                </c:pt>
                <c:pt idx="28">
                  <c:v>0.44000000000000039</c:v>
                </c:pt>
                <c:pt idx="29">
                  <c:v>0.42000000000000037</c:v>
                </c:pt>
                <c:pt idx="30">
                  <c:v>0.40000000000000041</c:v>
                </c:pt>
                <c:pt idx="31">
                  <c:v>0.3800000000000005</c:v>
                </c:pt>
                <c:pt idx="32">
                  <c:v>0.36000000000000049</c:v>
                </c:pt>
                <c:pt idx="33">
                  <c:v>0.34000000000000052</c:v>
                </c:pt>
                <c:pt idx="34">
                  <c:v>0.32000000000000062</c:v>
                </c:pt>
                <c:pt idx="35">
                  <c:v>0.30000000000000054</c:v>
                </c:pt>
                <c:pt idx="36">
                  <c:v>0.28000000000000064</c:v>
                </c:pt>
                <c:pt idx="37">
                  <c:v>0.26000000000000068</c:v>
                </c:pt>
                <c:pt idx="38">
                  <c:v>0.24000000000000066</c:v>
                </c:pt>
                <c:pt idx="39">
                  <c:v>0.22000000000000072</c:v>
                </c:pt>
                <c:pt idx="40">
                  <c:v>0.20000000000000068</c:v>
                </c:pt>
                <c:pt idx="41">
                  <c:v>0.18000000000000074</c:v>
                </c:pt>
                <c:pt idx="42">
                  <c:v>0.16000000000000081</c:v>
                </c:pt>
                <c:pt idx="43">
                  <c:v>0.14000000000000076</c:v>
                </c:pt>
                <c:pt idx="44">
                  <c:v>0.12000000000000084</c:v>
                </c:pt>
                <c:pt idx="45">
                  <c:v>0.10000000000000091</c:v>
                </c:pt>
                <c:pt idx="46">
                  <c:v>8.0000000000000862E-2</c:v>
                </c:pt>
                <c:pt idx="47">
                  <c:v>6.0000000000001039E-2</c:v>
                </c:pt>
                <c:pt idx="48">
                  <c:v>4.0000000000000896E-2</c:v>
                </c:pt>
                <c:pt idx="49">
                  <c:v>2.0000000000000961E-2</c:v>
                </c:pt>
                <c:pt idx="50">
                  <c:v>0</c:v>
                </c:pt>
              </c:numCache>
            </c:numRef>
          </c:yVal>
          <c:smooth val="1"/>
        </c:ser>
        <c:ser>
          <c:idx val="4"/>
          <c:order val="1"/>
          <c:tx>
            <c:v>Current Draw (% of Stall)</c:v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xVal>
            <c:numRef>
              <c:f>Calculation!$B$5:$B$55</c:f>
              <c:numCache>
                <c:formatCode>0.0%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xVal>
          <c:yVal>
            <c:numRef>
              <c:f>Calculation!$F$5:$F$55</c:f>
              <c:numCache>
                <c:formatCode>0.0%</c:formatCode>
                <c:ptCount val="51"/>
                <c:pt idx="0">
                  <c:v>1.6470588235294119E-2</c:v>
                </c:pt>
                <c:pt idx="1">
                  <c:v>3.6141176470588239E-2</c:v>
                </c:pt>
                <c:pt idx="2">
                  <c:v>5.5811764705882359E-2</c:v>
                </c:pt>
                <c:pt idx="3">
                  <c:v>7.5482352941176473E-2</c:v>
                </c:pt>
                <c:pt idx="4">
                  <c:v>9.5152941176470593E-2</c:v>
                </c:pt>
                <c:pt idx="5">
                  <c:v>0.1148235294117647</c:v>
                </c:pt>
                <c:pt idx="6">
                  <c:v>0.13449411764705885</c:v>
                </c:pt>
                <c:pt idx="7">
                  <c:v>0.15416470588235295</c:v>
                </c:pt>
                <c:pt idx="8">
                  <c:v>0.17383529411764706</c:v>
                </c:pt>
                <c:pt idx="9">
                  <c:v>0.19350588235294119</c:v>
                </c:pt>
                <c:pt idx="10">
                  <c:v>0.2131764705882353</c:v>
                </c:pt>
                <c:pt idx="11">
                  <c:v>0.23284705882352941</c:v>
                </c:pt>
                <c:pt idx="12">
                  <c:v>0.25251764705882357</c:v>
                </c:pt>
                <c:pt idx="13">
                  <c:v>0.27218823529411768</c:v>
                </c:pt>
                <c:pt idx="14">
                  <c:v>0.29185882352941173</c:v>
                </c:pt>
                <c:pt idx="15">
                  <c:v>0.31152941176470594</c:v>
                </c:pt>
                <c:pt idx="16">
                  <c:v>0.33119999999999999</c:v>
                </c:pt>
                <c:pt idx="17">
                  <c:v>0.3508705882352941</c:v>
                </c:pt>
                <c:pt idx="18">
                  <c:v>0.37054117647058815</c:v>
                </c:pt>
                <c:pt idx="19">
                  <c:v>0.39021176470588226</c:v>
                </c:pt>
                <c:pt idx="20">
                  <c:v>0.40988235294117636</c:v>
                </c:pt>
                <c:pt idx="21">
                  <c:v>0.42955294117647042</c:v>
                </c:pt>
                <c:pt idx="22">
                  <c:v>0.44922352941176452</c:v>
                </c:pt>
                <c:pt idx="23">
                  <c:v>0.46889411764705863</c:v>
                </c:pt>
                <c:pt idx="24">
                  <c:v>0.48856470588235268</c:v>
                </c:pt>
                <c:pt idx="25">
                  <c:v>0.50823529411764679</c:v>
                </c:pt>
                <c:pt idx="26">
                  <c:v>0.52790588235294089</c:v>
                </c:pt>
                <c:pt idx="27">
                  <c:v>0.547576470588235</c:v>
                </c:pt>
                <c:pt idx="28">
                  <c:v>0.56724705882352899</c:v>
                </c:pt>
                <c:pt idx="29">
                  <c:v>0.5869176470588231</c:v>
                </c:pt>
                <c:pt idx="30">
                  <c:v>0.60658823529411721</c:v>
                </c:pt>
                <c:pt idx="31">
                  <c:v>0.62625882352941131</c:v>
                </c:pt>
                <c:pt idx="32">
                  <c:v>0.64592941176470542</c:v>
                </c:pt>
                <c:pt idx="33">
                  <c:v>0.66559999999999953</c:v>
                </c:pt>
                <c:pt idx="34">
                  <c:v>0.68527058823529363</c:v>
                </c:pt>
                <c:pt idx="35">
                  <c:v>0.70494117647058774</c:v>
                </c:pt>
                <c:pt idx="36">
                  <c:v>0.72461176470588184</c:v>
                </c:pt>
                <c:pt idx="37">
                  <c:v>0.74428235294117584</c:v>
                </c:pt>
                <c:pt idx="38">
                  <c:v>0.76395294117646995</c:v>
                </c:pt>
                <c:pt idx="39">
                  <c:v>0.78362352941176405</c:v>
                </c:pt>
                <c:pt idx="40">
                  <c:v>0.80329411764705816</c:v>
                </c:pt>
                <c:pt idx="41">
                  <c:v>0.82296470588235227</c:v>
                </c:pt>
                <c:pt idx="42">
                  <c:v>0.84263529411764626</c:v>
                </c:pt>
                <c:pt idx="43">
                  <c:v>0.86230588235294037</c:v>
                </c:pt>
                <c:pt idx="44">
                  <c:v>0.88197647058823436</c:v>
                </c:pt>
                <c:pt idx="45">
                  <c:v>0.90164705882352858</c:v>
                </c:pt>
                <c:pt idx="46">
                  <c:v>0.92131764705882258</c:v>
                </c:pt>
                <c:pt idx="47">
                  <c:v>0.94098823529411679</c:v>
                </c:pt>
                <c:pt idx="48">
                  <c:v>0.9606588235294109</c:v>
                </c:pt>
                <c:pt idx="49">
                  <c:v>0.98032941176470489</c:v>
                </c:pt>
                <c:pt idx="50">
                  <c:v>0.99999999999999911</c:v>
                </c:pt>
              </c:numCache>
            </c:numRef>
          </c:yVal>
          <c:smooth val="1"/>
        </c:ser>
        <c:ser>
          <c:idx val="6"/>
          <c:order val="2"/>
          <c:tx>
            <c:v>Mechanical Power (% of Max)</c:v>
          </c:tx>
          <c:spPr>
            <a:ln w="12700">
              <a:solidFill>
                <a:srgbClr val="0070C0"/>
              </a:solidFill>
              <a:prstDash val="solid"/>
            </a:ln>
          </c:spPr>
          <c:marker>
            <c:symbol val="none"/>
          </c:marker>
          <c:xVal>
            <c:numRef>
              <c:f>Calculation!$B$5:$B$55</c:f>
              <c:numCache>
                <c:formatCode>0.0%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xVal>
          <c:yVal>
            <c:numRef>
              <c:f>Calculation!$H$5:$H$55</c:f>
              <c:numCache>
                <c:formatCode>0.0%</c:formatCode>
                <c:ptCount val="51"/>
                <c:pt idx="0">
                  <c:v>0</c:v>
                </c:pt>
                <c:pt idx="1">
                  <c:v>7.8400000000000011E-2</c:v>
                </c:pt>
                <c:pt idx="2">
                  <c:v>0.15359999999999999</c:v>
                </c:pt>
                <c:pt idx="3">
                  <c:v>0.22560000000000002</c:v>
                </c:pt>
                <c:pt idx="4">
                  <c:v>0.2944</c:v>
                </c:pt>
                <c:pt idx="5">
                  <c:v>0.36</c:v>
                </c:pt>
                <c:pt idx="6">
                  <c:v>0.4224</c:v>
                </c:pt>
                <c:pt idx="7">
                  <c:v>0.48160000000000008</c:v>
                </c:pt>
                <c:pt idx="8">
                  <c:v>0.53759999999999997</c:v>
                </c:pt>
                <c:pt idx="9">
                  <c:v>0.59040000000000004</c:v>
                </c:pt>
                <c:pt idx="10">
                  <c:v>0.6399999999999999</c:v>
                </c:pt>
                <c:pt idx="11">
                  <c:v>0.68640000000000001</c:v>
                </c:pt>
                <c:pt idx="12">
                  <c:v>0.72959999999999992</c:v>
                </c:pt>
                <c:pt idx="13">
                  <c:v>0.76960000000000006</c:v>
                </c:pt>
                <c:pt idx="14">
                  <c:v>0.80640000000000012</c:v>
                </c:pt>
                <c:pt idx="15">
                  <c:v>0.84000000000000008</c:v>
                </c:pt>
                <c:pt idx="16">
                  <c:v>0.87040000000000006</c:v>
                </c:pt>
                <c:pt idx="17">
                  <c:v>0.89760000000000018</c:v>
                </c:pt>
                <c:pt idx="18">
                  <c:v>0.92159999999999997</c:v>
                </c:pt>
                <c:pt idx="19">
                  <c:v>0.9423999999999999</c:v>
                </c:pt>
                <c:pt idx="20">
                  <c:v>0.95999999999999985</c:v>
                </c:pt>
                <c:pt idx="21">
                  <c:v>0.97439999999999993</c:v>
                </c:pt>
                <c:pt idx="22">
                  <c:v>0.98560000000000014</c:v>
                </c:pt>
                <c:pt idx="23">
                  <c:v>0.99360000000000015</c:v>
                </c:pt>
                <c:pt idx="24">
                  <c:v>0.99840000000000007</c:v>
                </c:pt>
                <c:pt idx="25">
                  <c:v>1.0000000000000002</c:v>
                </c:pt>
                <c:pt idx="26">
                  <c:v>0.99840000000000007</c:v>
                </c:pt>
                <c:pt idx="27">
                  <c:v>0.99360000000000015</c:v>
                </c:pt>
                <c:pt idx="28">
                  <c:v>0.98560000000000025</c:v>
                </c:pt>
                <c:pt idx="29">
                  <c:v>0.97440000000000027</c:v>
                </c:pt>
                <c:pt idx="30">
                  <c:v>0.96000000000000041</c:v>
                </c:pt>
                <c:pt idx="31">
                  <c:v>0.94240000000000068</c:v>
                </c:pt>
                <c:pt idx="32">
                  <c:v>0.92160000000000053</c:v>
                </c:pt>
                <c:pt idx="33">
                  <c:v>0.89760000000000073</c:v>
                </c:pt>
                <c:pt idx="34">
                  <c:v>0.87040000000000106</c:v>
                </c:pt>
                <c:pt idx="35">
                  <c:v>0.84000000000000086</c:v>
                </c:pt>
                <c:pt idx="36">
                  <c:v>0.80640000000000123</c:v>
                </c:pt>
                <c:pt idx="37">
                  <c:v>0.76960000000000128</c:v>
                </c:pt>
                <c:pt idx="38">
                  <c:v>0.72960000000000147</c:v>
                </c:pt>
                <c:pt idx="39">
                  <c:v>0.68640000000000156</c:v>
                </c:pt>
                <c:pt idx="40">
                  <c:v>0.64000000000000157</c:v>
                </c:pt>
                <c:pt idx="41">
                  <c:v>0.59040000000000181</c:v>
                </c:pt>
                <c:pt idx="42">
                  <c:v>0.53760000000000219</c:v>
                </c:pt>
                <c:pt idx="43">
                  <c:v>0.48160000000000225</c:v>
                </c:pt>
                <c:pt idx="44">
                  <c:v>0.42240000000000255</c:v>
                </c:pt>
                <c:pt idx="45">
                  <c:v>0.36000000000000293</c:v>
                </c:pt>
                <c:pt idx="46">
                  <c:v>0.29440000000000288</c:v>
                </c:pt>
                <c:pt idx="47">
                  <c:v>0.22560000000000366</c:v>
                </c:pt>
                <c:pt idx="48">
                  <c:v>0.15360000000000326</c:v>
                </c:pt>
                <c:pt idx="49">
                  <c:v>7.8400000000003689E-2</c:v>
                </c:pt>
                <c:pt idx="50">
                  <c:v>0</c:v>
                </c:pt>
              </c:numCache>
            </c:numRef>
          </c:yVal>
          <c:smooth val="1"/>
        </c:ser>
        <c:ser>
          <c:idx val="8"/>
          <c:order val="3"/>
          <c:tx>
            <c:v>Efficiency (%)</c:v>
          </c:tx>
          <c:spPr>
            <a:ln w="12700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Calculation!$B$5:$B$55</c:f>
              <c:numCache>
                <c:formatCode>0.0%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xVal>
          <c:yVal>
            <c:numRef>
              <c:f>Calculation!$J$5:$J$55</c:f>
              <c:numCache>
                <c:formatCode>0.0%</c:formatCode>
                <c:ptCount val="51"/>
                <c:pt idx="0">
                  <c:v>0</c:v>
                </c:pt>
                <c:pt idx="1">
                  <c:v>0.52246174358703545</c:v>
                </c:pt>
                <c:pt idx="2">
                  <c:v>0.66283613984900258</c:v>
                </c:pt>
                <c:pt idx="3">
                  <c:v>0.71983736181934055</c:v>
                </c:pt>
                <c:pt idx="4">
                  <c:v>0.74517162144745697</c:v>
                </c:pt>
                <c:pt idx="5">
                  <c:v>0.75511366085513298</c:v>
                </c:pt>
                <c:pt idx="6">
                  <c:v>0.75641709941130941</c:v>
                </c:pt>
                <c:pt idx="7">
                  <c:v>0.75238865429174351</c:v>
                </c:pt>
                <c:pt idx="8">
                  <c:v>0.74483833690124801</c:v>
                </c:pt>
                <c:pt idx="9">
                  <c:v>0.73484018124462558</c:v>
                </c:pt>
                <c:pt idx="10">
                  <c:v>0.72307180082865818</c:v>
                </c:pt>
                <c:pt idx="11">
                  <c:v>0.7099818338603423</c:v>
                </c:pt>
                <c:pt idx="12">
                  <c:v>0.69587912669387919</c:v>
                </c:pt>
                <c:pt idx="13">
                  <c:v>0.68098324644691755</c:v>
                </c:pt>
                <c:pt idx="14">
                  <c:v>0.66545456703802264</c:v>
                </c:pt>
                <c:pt idx="15">
                  <c:v>0.64941295706977209</c:v>
                </c:pt>
                <c:pt idx="16">
                  <c:v>0.63294980826160807</c:v>
                </c:pt>
                <c:pt idx="17">
                  <c:v>0.61613601783794747</c:v>
                </c:pt>
                <c:pt idx="18">
                  <c:v>0.59902742839287582</c:v>
                </c:pt>
                <c:pt idx="19">
                  <c:v>0.58166862241226525</c:v>
                </c:pt>
                <c:pt idx="20">
                  <c:v>0.56409562418263304</c:v>
                </c:pt>
                <c:pt idx="21">
                  <c:v>0.54633785932627033</c:v>
                </c:pt>
                <c:pt idx="22">
                  <c:v>0.52841959951193052</c:v>
                </c:pt>
                <c:pt idx="23">
                  <c:v>0.51036104352296385</c:v>
                </c:pt>
                <c:pt idx="24">
                  <c:v>0.4921791371697134</c:v>
                </c:pt>
                <c:pt idx="25">
                  <c:v>0.47388820280003247</c:v>
                </c:pt>
                <c:pt idx="26">
                  <c:v>0.45550042807059771</c:v>
                </c:pt>
                <c:pt idx="27">
                  <c:v>0.43702624936944073</c:v>
                </c:pt>
                <c:pt idx="28">
                  <c:v>0.41847465546216117</c:v>
                </c:pt>
                <c:pt idx="29">
                  <c:v>0.39985343007779012</c:v>
                </c:pt>
                <c:pt idx="30">
                  <c:v>0.38116934729485946</c:v>
                </c:pt>
                <c:pt idx="31">
                  <c:v>0.36242833010538844</c:v>
                </c:pt>
                <c:pt idx="32">
                  <c:v>0.34363558000622973</c:v>
                </c:pt>
                <c:pt idx="33">
                  <c:v>0.32479568361140709</c:v>
                </c:pt>
                <c:pt idx="34">
                  <c:v>0.30591270090270611</c:v>
                </c:pt>
                <c:pt idx="35">
                  <c:v>0.28699023870506662</c:v>
                </c:pt>
                <c:pt idx="36">
                  <c:v>0.26803151219442944</c:v>
                </c:pt>
                <c:pt idx="37">
                  <c:v>0.24903939665205996</c:v>
                </c:pt>
                <c:pt idx="38">
                  <c:v>0.23001647122331942</c:v>
                </c:pt>
                <c:pt idx="39">
                  <c:v>0.21096505608581465</c:v>
                </c:pt>
                <c:pt idx="40">
                  <c:v>0.1918872441566393</c:v>
                </c:pt>
                <c:pt idx="41">
                  <c:v>0.17278492825239666</c:v>
                </c:pt>
                <c:pt idx="42">
                  <c:v>0.15365982444505888</c:v>
                </c:pt>
                <c:pt idx="43">
                  <c:v>0.13451349222111791</c:v>
                </c:pt>
                <c:pt idx="44">
                  <c:v>0.11534735194309773</c:v>
                </c:pt>
                <c:pt idx="45">
                  <c:v>9.6162700025393608E-2</c:v>
                </c:pt>
                <c:pt idx="46">
                  <c:v>7.6960722166042217E-2</c:v>
                </c:pt>
                <c:pt idx="47">
                  <c:v>5.7742504918895883E-2</c:v>
                </c:pt>
                <c:pt idx="48">
                  <c:v>3.8509045844074392E-2</c:v>
                </c:pt>
                <c:pt idx="49">
                  <c:v>1.9261262436389329E-2</c:v>
                </c:pt>
                <c:pt idx="50">
                  <c:v>0</c:v>
                </c:pt>
              </c:numCache>
            </c:numRef>
          </c:yVal>
          <c:smooth val="1"/>
        </c:ser>
        <c:ser>
          <c:idx val="1"/>
          <c:order val="4"/>
          <c:tx>
            <c:v>Fused Speed</c:v>
          </c:tx>
          <c:spPr>
            <a:ln w="25400">
              <a:solidFill>
                <a:srgbClr val="00B050"/>
              </a:solidFill>
              <a:prstDash val="solid"/>
            </a:ln>
          </c:spPr>
          <c:marker>
            <c:symbol val="none"/>
          </c:marker>
          <c:xVal>
            <c:numRef>
              <c:f>Calculation!$B$5:$B$55</c:f>
              <c:numCache>
                <c:formatCode>0.0%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xVal>
          <c:yVal>
            <c:numRef>
              <c:f>Calculation!$K$5:$K$55</c:f>
              <c:numCache>
                <c:formatCode>0.0%</c:formatCode>
                <c:ptCount val="51"/>
                <c:pt idx="0">
                  <c:v>1</c:v>
                </c:pt>
                <c:pt idx="1">
                  <c:v>0.98000000000000009</c:v>
                </c:pt>
                <c:pt idx="2">
                  <c:v>0.96</c:v>
                </c:pt>
                <c:pt idx="3">
                  <c:v>0.94</c:v>
                </c:pt>
                <c:pt idx="4">
                  <c:v>0.91999999999999993</c:v>
                </c:pt>
                <c:pt idx="5">
                  <c:v>0.9</c:v>
                </c:pt>
                <c:pt idx="6">
                  <c:v>0.88</c:v>
                </c:pt>
                <c:pt idx="7">
                  <c:v>0.8600000000000001</c:v>
                </c:pt>
                <c:pt idx="8">
                  <c:v>0.84</c:v>
                </c:pt>
                <c:pt idx="9">
                  <c:v>0.82</c:v>
                </c:pt>
                <c:pt idx="10">
                  <c:v>0.8</c:v>
                </c:pt>
                <c:pt idx="11">
                  <c:v>0.78</c:v>
                </c:pt>
                <c:pt idx="12">
                  <c:v>0.76</c:v>
                </c:pt>
                <c:pt idx="13">
                  <c:v>0.74</c:v>
                </c:pt>
                <c:pt idx="14">
                  <c:v>0.72</c:v>
                </c:pt>
                <c:pt idx="15">
                  <c:v>0.7</c:v>
                </c:pt>
                <c:pt idx="16">
                  <c:v>0.68</c:v>
                </c:pt>
                <c:pt idx="17">
                  <c:v>0.66000000000000014</c:v>
                </c:pt>
                <c:pt idx="18">
                  <c:v>0.64</c:v>
                </c:pt>
                <c:pt idx="19">
                  <c:v>0.62</c:v>
                </c:pt>
                <c:pt idx="20">
                  <c:v>0.60000000000000009</c:v>
                </c:pt>
                <c:pt idx="21">
                  <c:v>0.58000000000000018</c:v>
                </c:pt>
                <c:pt idx="22">
                  <c:v>0.56000000000000016</c:v>
                </c:pt>
                <c:pt idx="23">
                  <c:v>0.54000000000000026</c:v>
                </c:pt>
                <c:pt idx="24">
                  <c:v>0.52000000000000024</c:v>
                </c:pt>
                <c:pt idx="25">
                  <c:v>0.50000000000000033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</c:numCache>
            </c:numRef>
          </c:yVal>
          <c:smooth val="1"/>
        </c:ser>
        <c:ser>
          <c:idx val="5"/>
          <c:order val="5"/>
          <c:tx>
            <c:v>Fused Current</c:v>
          </c:tx>
          <c:spPr>
            <a:ln w="25400">
              <a:solidFill>
                <a:srgbClr val="FFC000"/>
              </a:solidFill>
              <a:prstDash val="solid"/>
            </a:ln>
          </c:spPr>
          <c:marker>
            <c:symbol val="none"/>
          </c:marker>
          <c:xVal>
            <c:numRef>
              <c:f>Calculation!$B$5:$B$55</c:f>
              <c:numCache>
                <c:formatCode>0.0%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xVal>
          <c:yVal>
            <c:numRef>
              <c:f>Calculation!$L$5:$L$55</c:f>
              <c:numCache>
                <c:formatCode>0.0%</c:formatCode>
                <c:ptCount val="51"/>
                <c:pt idx="0">
                  <c:v>1.6470588235294119E-2</c:v>
                </c:pt>
                <c:pt idx="1">
                  <c:v>3.6141176470588239E-2</c:v>
                </c:pt>
                <c:pt idx="2">
                  <c:v>5.5811764705882359E-2</c:v>
                </c:pt>
                <c:pt idx="3">
                  <c:v>7.5482352941176473E-2</c:v>
                </c:pt>
                <c:pt idx="4">
                  <c:v>9.5152941176470593E-2</c:v>
                </c:pt>
                <c:pt idx="5">
                  <c:v>0.1148235294117647</c:v>
                </c:pt>
                <c:pt idx="6">
                  <c:v>0.13449411764705885</c:v>
                </c:pt>
                <c:pt idx="7">
                  <c:v>0.15416470588235295</c:v>
                </c:pt>
                <c:pt idx="8">
                  <c:v>0.17383529411764706</c:v>
                </c:pt>
                <c:pt idx="9">
                  <c:v>0.19350588235294119</c:v>
                </c:pt>
                <c:pt idx="10">
                  <c:v>0.2131764705882353</c:v>
                </c:pt>
                <c:pt idx="11">
                  <c:v>0.23284705882352941</c:v>
                </c:pt>
                <c:pt idx="12">
                  <c:v>0.25251764705882357</c:v>
                </c:pt>
                <c:pt idx="13">
                  <c:v>0.27218823529411768</c:v>
                </c:pt>
                <c:pt idx="14">
                  <c:v>0.29185882352941173</c:v>
                </c:pt>
                <c:pt idx="15">
                  <c:v>0.31152941176470594</c:v>
                </c:pt>
                <c:pt idx="16">
                  <c:v>0.33119999999999999</c:v>
                </c:pt>
                <c:pt idx="17">
                  <c:v>0.3508705882352941</c:v>
                </c:pt>
                <c:pt idx="18">
                  <c:v>0.37054117647058815</c:v>
                </c:pt>
                <c:pt idx="19">
                  <c:v>0.39021176470588226</c:v>
                </c:pt>
                <c:pt idx="20">
                  <c:v>0.40988235294117636</c:v>
                </c:pt>
                <c:pt idx="21">
                  <c:v>0.42955294117647042</c:v>
                </c:pt>
                <c:pt idx="22">
                  <c:v>0.44922352941176452</c:v>
                </c:pt>
                <c:pt idx="23">
                  <c:v>0.46889411764705863</c:v>
                </c:pt>
                <c:pt idx="24">
                  <c:v>0.48856470588235268</c:v>
                </c:pt>
                <c:pt idx="25">
                  <c:v>0.50823529411764679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</c:numCache>
            </c:numRef>
          </c:yVal>
          <c:smooth val="1"/>
        </c:ser>
        <c:ser>
          <c:idx val="3"/>
          <c:order val="6"/>
          <c:tx>
            <c:v>Fused Power</c:v>
          </c:tx>
          <c:spPr>
            <a:ln w="25400">
              <a:solidFill>
                <a:srgbClr val="0070C0"/>
              </a:solidFill>
              <a:prstDash val="solid"/>
            </a:ln>
          </c:spPr>
          <c:marker>
            <c:symbol val="none"/>
          </c:marker>
          <c:xVal>
            <c:numRef>
              <c:f>Calculation!$B$5:$B$55</c:f>
              <c:numCache>
                <c:formatCode>0.0%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xVal>
          <c:yVal>
            <c:numRef>
              <c:f>Calculation!$M$5:$M$55</c:f>
              <c:numCache>
                <c:formatCode>0.0%</c:formatCode>
                <c:ptCount val="51"/>
                <c:pt idx="0">
                  <c:v>0</c:v>
                </c:pt>
                <c:pt idx="1">
                  <c:v>7.8400000000000011E-2</c:v>
                </c:pt>
                <c:pt idx="2">
                  <c:v>0.15359999999999999</c:v>
                </c:pt>
                <c:pt idx="3">
                  <c:v>0.22560000000000002</c:v>
                </c:pt>
                <c:pt idx="4">
                  <c:v>0.2944</c:v>
                </c:pt>
                <c:pt idx="5">
                  <c:v>0.36</c:v>
                </c:pt>
                <c:pt idx="6">
                  <c:v>0.4224</c:v>
                </c:pt>
                <c:pt idx="7">
                  <c:v>0.48160000000000008</c:v>
                </c:pt>
                <c:pt idx="8">
                  <c:v>0.53759999999999997</c:v>
                </c:pt>
                <c:pt idx="9">
                  <c:v>0.59040000000000004</c:v>
                </c:pt>
                <c:pt idx="10">
                  <c:v>0.6399999999999999</c:v>
                </c:pt>
                <c:pt idx="11">
                  <c:v>0.68640000000000001</c:v>
                </c:pt>
                <c:pt idx="12">
                  <c:v>0.72959999999999992</c:v>
                </c:pt>
                <c:pt idx="13">
                  <c:v>0.76960000000000006</c:v>
                </c:pt>
                <c:pt idx="14">
                  <c:v>0.80640000000000012</c:v>
                </c:pt>
                <c:pt idx="15">
                  <c:v>0.84000000000000008</c:v>
                </c:pt>
                <c:pt idx="16">
                  <c:v>0.87040000000000006</c:v>
                </c:pt>
                <c:pt idx="17">
                  <c:v>0.89760000000000018</c:v>
                </c:pt>
                <c:pt idx="18">
                  <c:v>0.92159999999999997</c:v>
                </c:pt>
                <c:pt idx="19">
                  <c:v>0.9423999999999999</c:v>
                </c:pt>
                <c:pt idx="20">
                  <c:v>0.95999999999999985</c:v>
                </c:pt>
                <c:pt idx="21">
                  <c:v>0.97439999999999993</c:v>
                </c:pt>
                <c:pt idx="22">
                  <c:v>0.98560000000000014</c:v>
                </c:pt>
                <c:pt idx="23">
                  <c:v>0.99360000000000015</c:v>
                </c:pt>
                <c:pt idx="24">
                  <c:v>0.99840000000000007</c:v>
                </c:pt>
                <c:pt idx="25">
                  <c:v>1.0000000000000002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</c:numCache>
            </c:numRef>
          </c:yVal>
          <c:smooth val="1"/>
        </c:ser>
        <c:ser>
          <c:idx val="7"/>
          <c:order val="7"/>
          <c:tx>
            <c:v>Fused Efficiency</c:v>
          </c:tx>
          <c:spPr>
            <a:ln w="25400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Calculation!$B$5:$B$55</c:f>
              <c:numCache>
                <c:formatCode>0.0%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xVal>
          <c:yVal>
            <c:numRef>
              <c:f>Calculation!$N$5:$N$55</c:f>
              <c:numCache>
                <c:formatCode>0.0%</c:formatCode>
                <c:ptCount val="51"/>
                <c:pt idx="0">
                  <c:v>0</c:v>
                </c:pt>
                <c:pt idx="1">
                  <c:v>0.52246174358703545</c:v>
                </c:pt>
                <c:pt idx="2">
                  <c:v>0.66283613984900258</c:v>
                </c:pt>
                <c:pt idx="3">
                  <c:v>0.71983736181934055</c:v>
                </c:pt>
                <c:pt idx="4">
                  <c:v>0.74517162144745697</c:v>
                </c:pt>
                <c:pt idx="5">
                  <c:v>0.75511366085513298</c:v>
                </c:pt>
                <c:pt idx="6">
                  <c:v>0.75641709941130941</c:v>
                </c:pt>
                <c:pt idx="7">
                  <c:v>0.75238865429174351</c:v>
                </c:pt>
                <c:pt idx="8">
                  <c:v>0.74483833690124801</c:v>
                </c:pt>
                <c:pt idx="9">
                  <c:v>0.73484018124462558</c:v>
                </c:pt>
                <c:pt idx="10">
                  <c:v>0.72307180082865818</c:v>
                </c:pt>
                <c:pt idx="11">
                  <c:v>0.7099818338603423</c:v>
                </c:pt>
                <c:pt idx="12">
                  <c:v>0.69587912669387919</c:v>
                </c:pt>
                <c:pt idx="13">
                  <c:v>0.68098324644691755</c:v>
                </c:pt>
                <c:pt idx="14">
                  <c:v>0.66545456703802264</c:v>
                </c:pt>
                <c:pt idx="15">
                  <c:v>0.64941295706977209</c:v>
                </c:pt>
                <c:pt idx="16">
                  <c:v>0.63294980826160807</c:v>
                </c:pt>
                <c:pt idx="17">
                  <c:v>0.61613601783794747</c:v>
                </c:pt>
                <c:pt idx="18">
                  <c:v>0.59902742839287582</c:v>
                </c:pt>
                <c:pt idx="19">
                  <c:v>0.58166862241226525</c:v>
                </c:pt>
                <c:pt idx="20">
                  <c:v>0.56409562418263304</c:v>
                </c:pt>
                <c:pt idx="21">
                  <c:v>0.54633785932627033</c:v>
                </c:pt>
                <c:pt idx="22">
                  <c:v>0.52841959951193052</c:v>
                </c:pt>
                <c:pt idx="23">
                  <c:v>0.51036104352296385</c:v>
                </c:pt>
                <c:pt idx="24">
                  <c:v>0.4921791371697134</c:v>
                </c:pt>
                <c:pt idx="25">
                  <c:v>0.47388820280003247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</c:numCache>
            </c:numRef>
          </c:yVal>
          <c:smooth val="1"/>
        </c:ser>
        <c:ser>
          <c:idx val="9"/>
          <c:order val="8"/>
          <c:tx>
            <c:v>Fused Cutoff</c:v>
          </c:tx>
          <c:spPr>
            <a:ln w="31750">
              <a:solidFill>
                <a:srgbClr val="000000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rgbClr val="FF0000"/>
                </a:solidFill>
                <a:prstDash val="solid"/>
              </a:ln>
            </c:spPr>
          </c:dPt>
          <c:xVal>
            <c:numRef>
              <c:f>Perfomance!$C$24:$C$25</c:f>
              <c:numCache>
                <c:formatCode>0.00</c:formatCode>
                <c:ptCount val="2"/>
                <c:pt idx="0">
                  <c:v>0.50521966072205315</c:v>
                </c:pt>
                <c:pt idx="1">
                  <c:v>0.50521966072205315</c:v>
                </c:pt>
              </c:numCache>
            </c:numRef>
          </c:xVal>
          <c:yVal>
            <c:numRef>
              <c:f>Perfomance!$D$24:$D$25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1"/>
        </c:ser>
        <c:ser>
          <c:idx val="0"/>
          <c:order val="9"/>
          <c:tx>
            <c:v>Slider Condition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Perfomance!$C$22:$C$23</c:f>
              <c:numCache>
                <c:formatCode>General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xVal>
          <c:yVal>
            <c:numRef>
              <c:f>Perfomance!$D$22:$D$23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1"/>
        </c:ser>
        <c:ser>
          <c:idx val="10"/>
          <c:order val="10"/>
          <c:tx>
            <c:v>Design Condition</c:v>
          </c:tx>
          <c:spPr>
            <a:ln w="19050">
              <a:solidFill>
                <a:schemeClr val="tx2"/>
              </a:solidFill>
              <a:prstDash val="dash"/>
            </a:ln>
          </c:spPr>
          <c:marker>
            <c:symbol val="none"/>
          </c:marker>
          <c:xVal>
            <c:numRef>
              <c:f>Perfomance!$C$26:$C$27</c:f>
              <c:numCache>
                <c:formatCode>0.00</c:formatCode>
                <c:ptCount val="2"/>
                <c:pt idx="0">
                  <c:v>1.0995824675282297E-2</c:v>
                </c:pt>
                <c:pt idx="1">
                  <c:v>1.0995824675282297E-2</c:v>
                </c:pt>
              </c:numCache>
            </c:numRef>
          </c:xVal>
          <c:yVal>
            <c:numRef>
              <c:f>Perfomance!$D$26:$D$27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185472"/>
        <c:axId val="42187392"/>
      </c:scatterChart>
      <c:valAx>
        <c:axId val="42185472"/>
        <c:scaling>
          <c:orientation val="minMax"/>
          <c:max val="1"/>
          <c:min val="0"/>
        </c:scaling>
        <c:delete val="0"/>
        <c:axPos val="b"/>
        <c:majorGridlines>
          <c:spPr>
            <a:ln w="3175">
              <a:solidFill>
                <a:srgbClr val="B7B7B7"/>
              </a:solidFill>
              <a:prstDash val="sysDash"/>
            </a:ln>
          </c:spPr>
        </c:majorGridlines>
        <c:minorGridlines>
          <c:spPr>
            <a:ln w="3175">
              <a:solidFill>
                <a:srgbClr val="B7B7B7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/>
                  <a:t>% of Stall Torque</a:t>
                </a:r>
              </a:p>
            </c:rich>
          </c:tx>
          <c:layout>
            <c:manualLayout>
              <c:xMode val="edge"/>
              <c:yMode val="edge"/>
              <c:x val="0.46463273583321435"/>
              <c:y val="0.86407532808399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187392"/>
        <c:crosses val="autoZero"/>
        <c:crossBetween val="midCat"/>
        <c:majorUnit val="0.1"/>
        <c:minorUnit val="0.05"/>
      </c:valAx>
      <c:valAx>
        <c:axId val="42187392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B7B7B7"/>
              </a:solidFill>
              <a:prstDash val="sysDash"/>
            </a:ln>
          </c:spPr>
        </c:majorGridlines>
        <c:minorGridlines>
          <c:spPr>
            <a:ln w="3175">
              <a:solidFill>
                <a:srgbClr val="B7B7B7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/>
                  <a:t>% of Free Speed, Stall Current, Max Power, Efficiency</a:t>
                </a:r>
              </a:p>
            </c:rich>
          </c:tx>
          <c:layout>
            <c:manualLayout>
              <c:xMode val="edge"/>
              <c:yMode val="edge"/>
              <c:x val="6.9348127600554789E-3"/>
              <c:y val="0.1611209943975803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185472"/>
        <c:crosses val="autoZero"/>
        <c:crossBetween val="midCat"/>
        <c:majorUnit val="0.1"/>
        <c:minorUnit val="0.05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ayout>
        <c:manualLayout>
          <c:xMode val="edge"/>
          <c:yMode val="edge"/>
          <c:x val="1.188373582888843E-2"/>
          <c:y val="0.91119160104986874"/>
          <c:w val="0.9774717324986526"/>
          <c:h val="7.8808398950131572E-2"/>
        </c:manualLayout>
      </c:layout>
      <c:overlay val="0"/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B7B7B7">
            <a:gamma/>
            <a:tint val="0"/>
            <a:invGamma/>
          </a:srgbClr>
        </a:gs>
        <a:gs pos="100000">
          <a:schemeClr val="bg1">
            <a:lumMod val="85000"/>
          </a:schemeClr>
        </a:gs>
      </a:gsLst>
      <a:lin ang="54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3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33" r="0.75000000000000233" t="1" header="0.5" footer="0.5"/>
    <c:pageSetup orientation="landscape"/>
  </c:printSettings>
  <c:userShapes r:id="rId1"/>
</c:chartSpace>
</file>

<file path=xl/ctrlProps/ctrlProp1.xml><?xml version="1.0" encoding="utf-8"?>
<formControlPr xmlns="http://schemas.microsoft.com/office/spreadsheetml/2009/9/main" objectType="Scroll" dx="16" fmlaLink="$C$21" horiz="1" max="100" page="10" val="5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161924</xdr:rowOff>
    </xdr:from>
    <xdr:to>
      <xdr:col>2</xdr:col>
      <xdr:colOff>0</xdr:colOff>
      <xdr:row>2</xdr:row>
      <xdr:rowOff>371474</xdr:rowOff>
    </xdr:to>
    <xdr:sp macro="[0]!NewMotor" textlink="">
      <xdr:nvSpPr>
        <xdr:cNvPr id="3" name="Rounded Rectangle 2"/>
        <xdr:cNvSpPr/>
      </xdr:nvSpPr>
      <xdr:spPr bwMode="auto">
        <a:xfrm>
          <a:off x="0" y="390524"/>
          <a:ext cx="1885950" cy="37147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1002">
          <a:schemeClr val="dk2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</a:rPr>
            <a:t>Add New Motor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0</xdr:rowOff>
    </xdr:from>
    <xdr:to>
      <xdr:col>7</xdr:col>
      <xdr:colOff>0</xdr:colOff>
      <xdr:row>31</xdr:row>
      <xdr:rowOff>342899</xdr:rowOff>
    </xdr:to>
    <xdr:graphicFrame macro="">
      <xdr:nvGraphicFramePr>
        <xdr:cNvPr id="321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0</xdr:colOff>
      <xdr:row>4</xdr:row>
      <xdr:rowOff>0</xdr:rowOff>
    </xdr:from>
    <xdr:to>
      <xdr:col>17</xdr:col>
      <xdr:colOff>0</xdr:colOff>
      <xdr:row>6</xdr:row>
      <xdr:rowOff>0</xdr:rowOff>
    </xdr:to>
    <xdr:sp macro="[0]!MatchPowerChangingSpeed" textlink="">
      <xdr:nvSpPr>
        <xdr:cNvPr id="3" name="Rectangle 2"/>
        <xdr:cNvSpPr/>
      </xdr:nvSpPr>
      <xdr:spPr bwMode="auto">
        <a:xfrm>
          <a:off x="8943975" y="742950"/>
          <a:ext cx="2371725" cy="381000"/>
        </a:xfrm>
        <a:prstGeom prst="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1100"/>
            <a:t>Adjust Speed</a:t>
          </a: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17</xdr:col>
      <xdr:colOff>0</xdr:colOff>
      <xdr:row>8</xdr:row>
      <xdr:rowOff>0</xdr:rowOff>
    </xdr:to>
    <xdr:sp macro="[0]!MatchPowerChangingTorque" textlink="">
      <xdr:nvSpPr>
        <xdr:cNvPr id="4" name="Rectangle 3"/>
        <xdr:cNvSpPr/>
      </xdr:nvSpPr>
      <xdr:spPr bwMode="auto">
        <a:xfrm>
          <a:off x="8943975" y="1123950"/>
          <a:ext cx="2371725" cy="381000"/>
        </a:xfrm>
        <a:prstGeom prst="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1100"/>
            <a:t>Adjust Torque</a:t>
          </a:r>
        </a:p>
      </xdr:txBody>
    </xdr:sp>
    <xdr:clientData/>
  </xdr:twoCellAnchor>
  <xdr:twoCellAnchor>
    <xdr:from>
      <xdr:col>16</xdr:col>
      <xdr:colOff>0</xdr:colOff>
      <xdr:row>8</xdr:row>
      <xdr:rowOff>0</xdr:rowOff>
    </xdr:from>
    <xdr:to>
      <xdr:col>17</xdr:col>
      <xdr:colOff>0</xdr:colOff>
      <xdr:row>10</xdr:row>
      <xdr:rowOff>0</xdr:rowOff>
    </xdr:to>
    <xdr:sp macro="[0]!MatchReqPowerChangingMotors" textlink="">
      <xdr:nvSpPr>
        <xdr:cNvPr id="5" name="Rectangle 4"/>
        <xdr:cNvSpPr/>
      </xdr:nvSpPr>
      <xdr:spPr bwMode="auto">
        <a:xfrm>
          <a:off x="8943975" y="1504950"/>
          <a:ext cx="2371725" cy="381000"/>
        </a:xfrm>
        <a:prstGeom prst="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1100"/>
            <a:t>Adjust Motor Qty</a:t>
          </a:r>
        </a:p>
      </xdr:txBody>
    </xdr:sp>
    <xdr:clientData/>
  </xdr:twoCellAnchor>
  <xdr:twoCellAnchor>
    <xdr:from>
      <xdr:col>16</xdr:col>
      <xdr:colOff>0</xdr:colOff>
      <xdr:row>22</xdr:row>
      <xdr:rowOff>0</xdr:rowOff>
    </xdr:from>
    <xdr:to>
      <xdr:col>17</xdr:col>
      <xdr:colOff>0</xdr:colOff>
      <xdr:row>24</xdr:row>
      <xdr:rowOff>0</xdr:rowOff>
    </xdr:to>
    <xdr:sp macro="[0]!SaveScenario" textlink="">
      <xdr:nvSpPr>
        <xdr:cNvPr id="6" name="Rectangle 5"/>
        <xdr:cNvSpPr/>
      </xdr:nvSpPr>
      <xdr:spPr bwMode="auto">
        <a:xfrm>
          <a:off x="9115425" y="4171950"/>
          <a:ext cx="2371725" cy="381000"/>
        </a:xfrm>
        <a:prstGeom prst="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1100"/>
            <a:t>Save Scenario</a:t>
          </a:r>
        </a:p>
      </xdr:txBody>
    </xdr:sp>
    <xdr:clientData/>
  </xdr:twoCellAnchor>
  <xdr:twoCellAnchor>
    <xdr:from>
      <xdr:col>16</xdr:col>
      <xdr:colOff>0</xdr:colOff>
      <xdr:row>24</xdr:row>
      <xdr:rowOff>0</xdr:rowOff>
    </xdr:from>
    <xdr:to>
      <xdr:col>17</xdr:col>
      <xdr:colOff>0</xdr:colOff>
      <xdr:row>26</xdr:row>
      <xdr:rowOff>0</xdr:rowOff>
    </xdr:to>
    <xdr:sp macro="[0]!ScenarioSummary" textlink="">
      <xdr:nvSpPr>
        <xdr:cNvPr id="7" name="Rectangle 6"/>
        <xdr:cNvSpPr/>
      </xdr:nvSpPr>
      <xdr:spPr bwMode="auto">
        <a:xfrm>
          <a:off x="9115425" y="4552950"/>
          <a:ext cx="2371725" cy="381000"/>
        </a:xfrm>
        <a:prstGeom prst="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1100"/>
            <a:t>Scenario Summary Report</a:t>
          </a:r>
        </a:p>
      </xdr:txBody>
    </xdr:sp>
    <xdr:clientData/>
  </xdr:twoCellAnchor>
  <xdr:twoCellAnchor>
    <xdr:from>
      <xdr:col>16</xdr:col>
      <xdr:colOff>0</xdr:colOff>
      <xdr:row>15</xdr:row>
      <xdr:rowOff>0</xdr:rowOff>
    </xdr:from>
    <xdr:to>
      <xdr:col>17</xdr:col>
      <xdr:colOff>0</xdr:colOff>
      <xdr:row>17</xdr:row>
      <xdr:rowOff>0</xdr:rowOff>
    </xdr:to>
    <xdr:sp macro="[0]!MatchGearRatioChangingSpeed" textlink="">
      <xdr:nvSpPr>
        <xdr:cNvPr id="9" name="Rectangle 8"/>
        <xdr:cNvSpPr/>
      </xdr:nvSpPr>
      <xdr:spPr bwMode="auto">
        <a:xfrm>
          <a:off x="9115425" y="2838450"/>
          <a:ext cx="2371725" cy="381000"/>
        </a:xfrm>
        <a:prstGeom prst="rect">
          <a:avLst/>
        </a:prstGeom>
        <a:solidFill>
          <a:srgbClr val="00B050"/>
        </a:solidFill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1100"/>
            <a:t>Match Gear</a:t>
          </a:r>
          <a:r>
            <a:rPr lang="en-US" sz="1100" baseline="0"/>
            <a:t> Ratio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3074" name="Scroll Bar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0.56962</cdr:x>
      <cdr:y>0.01193</cdr:y>
    </cdr:from>
    <cdr:to>
      <cdr:x>0.9911</cdr:x>
      <cdr:y>0.05964</cdr:y>
    </cdr:to>
    <cdr:sp macro="" textlink="">
      <cdr:nvSpPr>
        <cdr:cNvPr id="21505" name="Rectangle 1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981739" y="49702"/>
          <a:ext cx="2206282" cy="198775"/>
        </a:xfrm>
        <a:prstGeom xmlns:a="http://schemas.openxmlformats.org/drawingml/2006/main" prst="rect">
          <a:avLst/>
        </a:prstGeom>
        <a:solidFill xmlns:a="http://schemas.openxmlformats.org/drawingml/2006/main">
          <a:srgbClr val="FF0000"/>
        </a:solidFill>
        <a:ln xmlns:a="http://schemas.openxmlformats.org/drawingml/2006/main" w="9525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1">
            <a:defRPr sz="1000"/>
          </a:pPr>
          <a:r>
            <a:rPr lang="en-US" sz="800" b="1" i="0" strike="noStrike">
              <a:solidFill>
                <a:srgbClr val="FFFFFF"/>
              </a:solidFill>
              <a:latin typeface="Arial"/>
              <a:cs typeface="Arial"/>
            </a:rPr>
            <a:t>CAUTION: Torque displayed on x-axis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E36C0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E36C0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4"/>
  <sheetViews>
    <sheetView showGridLines="0" workbookViewId="0">
      <selection activeCell="B12" sqref="B12"/>
    </sheetView>
  </sheetViews>
  <sheetFormatPr defaultRowHeight="12.75" x14ac:dyDescent="0.2"/>
  <cols>
    <col min="1" max="1" width="22.7109375" customWidth="1"/>
    <col min="2" max="2" width="9.42578125" customWidth="1"/>
    <col min="3" max="3" width="3.7109375" customWidth="1"/>
    <col min="4" max="5" width="15.28515625" customWidth="1"/>
    <col min="6" max="6" width="3.7109375" customWidth="1"/>
    <col min="7" max="8" width="15.28515625" customWidth="1"/>
    <col min="9" max="9" width="3.7109375" customWidth="1"/>
    <col min="10" max="10" width="24.7109375" customWidth="1"/>
  </cols>
  <sheetData>
    <row r="1" spans="1:10" s="11" customFormat="1" ht="18" x14ac:dyDescent="0.25">
      <c r="A1" s="14" t="s">
        <v>47</v>
      </c>
    </row>
    <row r="2" spans="1:10" s="15" customFormat="1" ht="15" x14ac:dyDescent="0.2">
      <c r="A2" s="12" t="s">
        <v>0</v>
      </c>
      <c r="B2" s="12"/>
      <c r="C2" s="12"/>
      <c r="D2" s="12"/>
      <c r="E2" s="12"/>
      <c r="F2" s="12"/>
      <c r="G2" s="12"/>
      <c r="H2" s="12"/>
      <c r="I2" s="12"/>
      <c r="J2" s="12"/>
    </row>
    <row r="3" spans="1:10" s="16" customFormat="1" ht="15" x14ac:dyDescent="0.2">
      <c r="A3" s="13" t="s">
        <v>32</v>
      </c>
      <c r="C3" s="13"/>
      <c r="D3" s="13"/>
      <c r="E3" s="13"/>
      <c r="F3" s="13"/>
      <c r="G3" s="13"/>
      <c r="H3" s="13"/>
      <c r="I3" s="13"/>
      <c r="J3" s="13"/>
    </row>
    <row r="4" spans="1:10" s="17" customFormat="1" ht="15.75" thickBot="1" x14ac:dyDescent="0.25">
      <c r="A4" s="1" t="s">
        <v>31</v>
      </c>
      <c r="B4" s="2"/>
      <c r="C4" s="2"/>
      <c r="D4" s="2"/>
      <c r="E4" s="2"/>
      <c r="F4" s="2"/>
      <c r="G4" s="2"/>
      <c r="H4" s="2"/>
      <c r="I4" s="2"/>
      <c r="J4" s="2"/>
    </row>
    <row r="5" spans="1:10" ht="13.5" thickTop="1" x14ac:dyDescent="0.2"/>
    <row r="6" spans="1:10" x14ac:dyDescent="0.2">
      <c r="A6" s="139" t="s">
        <v>65</v>
      </c>
      <c r="B6" s="139"/>
      <c r="D6" s="139" t="s">
        <v>53</v>
      </c>
      <c r="E6" s="139"/>
      <c r="G6" s="139" t="s">
        <v>52</v>
      </c>
      <c r="H6" s="139"/>
      <c r="J6" s="136" t="s">
        <v>124</v>
      </c>
    </row>
    <row r="7" spans="1:10" x14ac:dyDescent="0.2">
      <c r="A7" s="34" t="s">
        <v>63</v>
      </c>
      <c r="B7" s="35" t="s">
        <v>64</v>
      </c>
      <c r="D7" s="34" t="s">
        <v>44</v>
      </c>
      <c r="E7" s="35">
        <f>PI()/30</f>
        <v>0.10471975511965977</v>
      </c>
      <c r="G7" s="34" t="s">
        <v>48</v>
      </c>
      <c r="H7" s="35">
        <v>7.0615524250000001E-3</v>
      </c>
      <c r="J7" s="135" t="s">
        <v>125</v>
      </c>
    </row>
    <row r="8" spans="1:10" x14ac:dyDescent="0.2">
      <c r="A8" s="36" t="s">
        <v>66</v>
      </c>
      <c r="B8" s="18">
        <f>COUNTA(Specs!$B:$B)-COUNTA(Specs!$B$1:$B$4)</f>
        <v>14</v>
      </c>
      <c r="D8" s="34" t="s">
        <v>45</v>
      </c>
      <c r="E8" s="35">
        <f>PI()/180</f>
        <v>1.7453292519943295E-2</v>
      </c>
      <c r="G8" s="34" t="s">
        <v>49</v>
      </c>
      <c r="H8" s="35">
        <v>0.1129848388</v>
      </c>
      <c r="J8" s="135" t="s">
        <v>126</v>
      </c>
    </row>
    <row r="9" spans="1:10" x14ac:dyDescent="0.2">
      <c r="A9" s="36" t="s">
        <v>67</v>
      </c>
      <c r="B9" s="18">
        <f>COUNTA(Specs!$4:$4)</f>
        <v>21</v>
      </c>
      <c r="D9" s="34" t="s">
        <v>46</v>
      </c>
      <c r="E9" s="35">
        <v>1</v>
      </c>
      <c r="G9" s="34" t="s">
        <v>50</v>
      </c>
      <c r="H9" s="35">
        <v>1.3558180656000001</v>
      </c>
      <c r="J9" s="137" t="s">
        <v>127</v>
      </c>
    </row>
    <row r="10" spans="1:10" x14ac:dyDescent="0.2">
      <c r="A10" s="36" t="s">
        <v>68</v>
      </c>
      <c r="B10" s="36">
        <f>COUNTA(#REF!)-COUNTA(#REF!)</f>
        <v>0</v>
      </c>
      <c r="G10" s="34" t="s">
        <v>51</v>
      </c>
      <c r="H10" s="35">
        <v>1</v>
      </c>
      <c r="J10" s="137" t="s">
        <v>128</v>
      </c>
    </row>
    <row r="11" spans="1:10" x14ac:dyDescent="0.2">
      <c r="A11" s="36" t="s">
        <v>71</v>
      </c>
      <c r="B11" s="3">
        <f>COUNTA(#REF!)-COUNTA(#REF!)</f>
        <v>0</v>
      </c>
      <c r="J11" s="137" t="s">
        <v>133</v>
      </c>
    </row>
    <row r="12" spans="1:10" x14ac:dyDescent="0.2">
      <c r="A12" s="138" t="s">
        <v>129</v>
      </c>
      <c r="B12" s="3" t="e">
        <f ca="1">ScenarioCount()</f>
        <v>#NAME?</v>
      </c>
    </row>
    <row r="14" spans="1:10" x14ac:dyDescent="0.2">
      <c r="J14" s="135"/>
    </row>
  </sheetData>
  <mergeCells count="3">
    <mergeCell ref="D6:E6"/>
    <mergeCell ref="G6:H6"/>
    <mergeCell ref="A6:B6"/>
  </mergeCells>
  <phoneticPr fontId="10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indexed="13"/>
  </sheetPr>
  <dimension ref="A1:U18"/>
  <sheetViews>
    <sheetView showGridLines="0" topLeftCell="B1" workbookViewId="0">
      <pane ySplit="4" topLeftCell="A10" activePane="bottomLeft" state="frozen"/>
      <selection activeCell="C4" sqref="C4"/>
      <selection pane="bottomLeft" activeCell="B15" sqref="B15"/>
    </sheetView>
  </sheetViews>
  <sheetFormatPr defaultColWidth="8.85546875" defaultRowHeight="12.75" x14ac:dyDescent="0.2"/>
  <cols>
    <col min="1" max="1" width="47.5703125" hidden="1" customWidth="1"/>
    <col min="2" max="2" width="24.7109375" customWidth="1"/>
    <col min="3" max="3" width="16.28515625" customWidth="1"/>
    <col min="4" max="13" width="8.42578125" customWidth="1"/>
  </cols>
  <sheetData>
    <row r="1" spans="1:21" s="10" customFormat="1" ht="20.25" x14ac:dyDescent="0.3">
      <c r="A1" s="37"/>
      <c r="B1" s="38" t="s">
        <v>90</v>
      </c>
      <c r="C1" s="37"/>
    </row>
    <row r="3" spans="1:21" ht="21.75" customHeight="1" x14ac:dyDescent="0.2">
      <c r="D3" s="140" t="s">
        <v>109</v>
      </c>
      <c r="E3" s="141"/>
      <c r="F3" s="141"/>
      <c r="G3" s="141"/>
      <c r="H3" s="142"/>
      <c r="I3" s="22"/>
      <c r="J3" s="143" t="s">
        <v>110</v>
      </c>
      <c r="K3" s="144"/>
      <c r="L3" s="144"/>
      <c r="M3" s="144"/>
      <c r="N3" s="145"/>
      <c r="T3" s="133" t="s">
        <v>118</v>
      </c>
      <c r="U3" s="134">
        <f ca="1">SUM(L_TotalMotorPower)</f>
        <v>399.07234209423365</v>
      </c>
    </row>
    <row r="4" spans="1:21" ht="45" customHeight="1" x14ac:dyDescent="0.2">
      <c r="A4" s="9" t="s">
        <v>91</v>
      </c>
      <c r="B4" s="9" t="s">
        <v>12</v>
      </c>
      <c r="C4" s="9" t="s">
        <v>87</v>
      </c>
      <c r="D4" s="9" t="s">
        <v>1</v>
      </c>
      <c r="E4" s="9" t="s">
        <v>2</v>
      </c>
      <c r="F4" s="9" t="s">
        <v>3</v>
      </c>
      <c r="G4" s="9" t="s">
        <v>4</v>
      </c>
      <c r="H4" s="9" t="s">
        <v>5</v>
      </c>
      <c r="I4" s="9" t="s">
        <v>108</v>
      </c>
      <c r="J4" s="9" t="s">
        <v>2</v>
      </c>
      <c r="K4" s="9" t="s">
        <v>3</v>
      </c>
      <c r="L4" s="9" t="s">
        <v>4</v>
      </c>
      <c r="M4" s="9" t="s">
        <v>5</v>
      </c>
      <c r="N4" s="9" t="s">
        <v>108</v>
      </c>
      <c r="O4" s="9" t="s">
        <v>36</v>
      </c>
      <c r="P4" s="9" t="s">
        <v>111</v>
      </c>
      <c r="Q4" s="9" t="s">
        <v>112</v>
      </c>
      <c r="R4" s="9" t="s">
        <v>114</v>
      </c>
      <c r="S4" s="9" t="s">
        <v>113</v>
      </c>
      <c r="T4" s="9" t="s">
        <v>116</v>
      </c>
      <c r="U4" s="9" t="s">
        <v>117</v>
      </c>
    </row>
    <row r="5" spans="1:21" ht="30" customHeight="1" x14ac:dyDescent="0.2">
      <c r="A5" s="4" t="str">
        <f>B5&amp;" (PN "&amp;C5&amp;") &lt;"&amp;TEXT($I5,"#.#")&amp;"W&gt;"</f>
        <v>Globe Motor (With Gearbox) (PN 409A587) &lt;35.9W&gt;</v>
      </c>
      <c r="B5" s="113" t="s">
        <v>6</v>
      </c>
      <c r="C5" s="114" t="s">
        <v>88</v>
      </c>
      <c r="D5" s="115">
        <v>10.5</v>
      </c>
      <c r="E5" s="116">
        <v>81</v>
      </c>
      <c r="F5" s="117">
        <v>16.95</v>
      </c>
      <c r="G5" s="117">
        <v>21.58</v>
      </c>
      <c r="H5" s="117">
        <v>0.82</v>
      </c>
      <c r="I5" s="123">
        <f>(F5/2)*(E5/2)*PI()/30</f>
        <v>35.943746947884215</v>
      </c>
      <c r="J5" s="119">
        <f>Perfomance!$B$10/Specs!$D5*Specs!E5</f>
        <v>84.857142857142861</v>
      </c>
      <c r="K5" s="120">
        <f>Perfomance!$B$10/Specs!$D5*Specs!F5</f>
        <v>17.757142857142856</v>
      </c>
      <c r="L5" s="120">
        <f>Perfomance!$B$10/Specs!$D5*Specs!G5</f>
        <v>22.607619047619046</v>
      </c>
      <c r="M5" s="120">
        <f>Perfomance!$B$10/Specs!$D5*Specs!H5</f>
        <v>0.85904761904761906</v>
      </c>
      <c r="N5" s="125">
        <f>(Perfomance!$B$10/Specs!$D5)^2*Specs!$I5</f>
        <v>39.448466038040728</v>
      </c>
      <c r="O5" s="121">
        <v>100</v>
      </c>
      <c r="P5" s="118">
        <f>IF($O5&lt;$L5,($O5-$M5)*($K5/($L5-$M5)),$K5)</f>
        <v>17.757142857142856</v>
      </c>
      <c r="Q5" s="122">
        <f>-($J5/$K5)*$P5+$J5</f>
        <v>0</v>
      </c>
      <c r="R5" s="123">
        <f t="shared" ref="R5:R12" si="0">$P5*$Q5*PI()/30</f>
        <v>0</v>
      </c>
      <c r="S5" s="127">
        <f t="shared" ref="S5:S12" si="1">IF($P5&lt;$K5/2,$R5,$N5)</f>
        <v>39.448466038040728</v>
      </c>
      <c r="T5" s="129"/>
      <c r="U5" s="128">
        <f>$S5*$T5</f>
        <v>0</v>
      </c>
    </row>
    <row r="6" spans="1:21" ht="30" customHeight="1" x14ac:dyDescent="0.2">
      <c r="A6" s="4" t="str">
        <f t="shared" ref="A6:A15" si="2">B6&amp;" (PN "&amp;C6&amp;") &lt;"&amp;TEXT($I6,"#.#")&amp;"W&gt;"</f>
        <v>VEX Motor (PN 276-2163) &lt;1.9W&gt;</v>
      </c>
      <c r="B6" s="111" t="s">
        <v>7</v>
      </c>
      <c r="C6" s="4" t="s">
        <v>89</v>
      </c>
      <c r="D6" s="19">
        <v>7.5</v>
      </c>
      <c r="E6" s="20">
        <v>100</v>
      </c>
      <c r="F6" s="21">
        <v>0.73469499999999999</v>
      </c>
      <c r="G6" s="21">
        <v>1</v>
      </c>
      <c r="H6" s="21">
        <v>5.0000000000000001E-3</v>
      </c>
      <c r="I6" s="124">
        <f>(F6/2)*(E6/2)*PI()/30</f>
        <v>1.9234270121909607</v>
      </c>
      <c r="J6" s="119">
        <f>Perfomance!$B$10/Specs!$D6*Specs!E6</f>
        <v>146.66666666666666</v>
      </c>
      <c r="K6" s="120">
        <f>Perfomance!$B$10/Specs!$D6*Specs!F6</f>
        <v>1.0775526666666666</v>
      </c>
      <c r="L6" s="120">
        <f>Perfomance!$B$10/Specs!$D6*Specs!G6</f>
        <v>1.4666666666666666</v>
      </c>
      <c r="M6" s="120">
        <f>Perfomance!$B$10/Specs!$D6*Specs!H6</f>
        <v>7.3333333333333332E-3</v>
      </c>
      <c r="N6" s="126">
        <f>(Perfomance!$B$10/Specs!$D6)^2*Specs!$I6</f>
        <v>4.1375052173352218</v>
      </c>
      <c r="O6" s="112">
        <v>100</v>
      </c>
      <c r="P6" s="118">
        <f t="shared" ref="P6:P18" si="3">IF($O6&lt;$L6,($O6-$M6)*($K6/($L6-$M6)),$K6)</f>
        <v>1.0775526666666666</v>
      </c>
      <c r="Q6" s="122">
        <f t="shared" ref="Q6:Q18" si="4">-($J6/$K6)*$P6+$J6</f>
        <v>0</v>
      </c>
      <c r="R6" s="123">
        <f t="shared" si="0"/>
        <v>0</v>
      </c>
      <c r="S6" s="127">
        <f t="shared" si="1"/>
        <v>4.1375052173352218</v>
      </c>
      <c r="T6" s="129"/>
      <c r="U6" s="128">
        <f t="shared" ref="U6:U18" si="5">$S6*$T6</f>
        <v>0</v>
      </c>
    </row>
    <row r="7" spans="1:21" ht="30" customHeight="1" x14ac:dyDescent="0.2">
      <c r="A7" s="4" t="str">
        <f t="shared" si="2"/>
        <v>PITSCO FTC Motor (PN W39083) &lt;8.4W&gt;</v>
      </c>
      <c r="B7" s="111" t="s">
        <v>76</v>
      </c>
      <c r="C7" s="4" t="s">
        <v>77</v>
      </c>
      <c r="D7" s="19">
        <v>12</v>
      </c>
      <c r="E7" s="20">
        <v>152</v>
      </c>
      <c r="F7" s="21">
        <v>2.12</v>
      </c>
      <c r="G7" s="21">
        <v>3</v>
      </c>
      <c r="H7" s="21">
        <v>0.01</v>
      </c>
      <c r="I7" s="124">
        <f t="shared" ref="I7:I13" si="6">(F7/2)*(E7/2)*PI()/30</f>
        <v>8.4362234724397904</v>
      </c>
      <c r="J7" s="119">
        <f>Perfomance!$B$10/Specs!$D7*Specs!E7</f>
        <v>139.33333333333331</v>
      </c>
      <c r="K7" s="120">
        <f>Perfomance!$B$10/Specs!$D7*Specs!F7</f>
        <v>1.9433333333333334</v>
      </c>
      <c r="L7" s="120">
        <f>Perfomance!$B$10/Specs!$D7*Specs!G7</f>
        <v>2.75</v>
      </c>
      <c r="M7" s="120">
        <f>Perfomance!$B$10/Specs!$D7*Specs!H7</f>
        <v>9.1666666666666667E-3</v>
      </c>
      <c r="N7" s="126">
        <f>(Perfomance!$B$10/Specs!$D7)^2*Specs!$I7</f>
        <v>7.088771112258434</v>
      </c>
      <c r="O7" s="112">
        <v>100</v>
      </c>
      <c r="P7" s="118">
        <f t="shared" si="3"/>
        <v>1.9433333333333334</v>
      </c>
      <c r="Q7" s="122">
        <f t="shared" si="4"/>
        <v>0</v>
      </c>
      <c r="R7" s="123">
        <f t="shared" si="0"/>
        <v>0</v>
      </c>
      <c r="S7" s="127">
        <f t="shared" si="1"/>
        <v>7.088771112258434</v>
      </c>
      <c r="T7" s="129"/>
      <c r="U7" s="128">
        <f t="shared" si="5"/>
        <v>0</v>
      </c>
    </row>
    <row r="8" spans="1:21" ht="30" customHeight="1" x14ac:dyDescent="0.2">
      <c r="A8" s="4" t="str">
        <f t="shared" si="2"/>
        <v>Bane Bots (PN RS-545) &lt;73.3W&gt;</v>
      </c>
      <c r="B8" s="111" t="s">
        <v>81</v>
      </c>
      <c r="C8" s="4" t="s">
        <v>79</v>
      </c>
      <c r="D8" s="19">
        <v>12</v>
      </c>
      <c r="E8" s="20">
        <v>16800</v>
      </c>
      <c r="F8" s="21">
        <f>166.7/1000</f>
        <v>0.16669999999999999</v>
      </c>
      <c r="G8" s="21">
        <v>21</v>
      </c>
      <c r="H8" s="21">
        <v>0.9</v>
      </c>
      <c r="I8" s="124">
        <f t="shared" si="6"/>
        <v>73.318489349478583</v>
      </c>
      <c r="J8" s="119">
        <f>Perfomance!$B$10/Specs!$D8*Specs!E8</f>
        <v>15400</v>
      </c>
      <c r="K8" s="120">
        <f>Perfomance!$B$10/Specs!$D8*Specs!F8</f>
        <v>0.15280833333333332</v>
      </c>
      <c r="L8" s="120">
        <f>Perfomance!$B$10/Specs!$D8*Specs!G8</f>
        <v>19.25</v>
      </c>
      <c r="M8" s="120">
        <f>Perfomance!$B$10/Specs!$D8*Specs!H8</f>
        <v>0.82499999999999996</v>
      </c>
      <c r="N8" s="126">
        <f>(Perfomance!$B$10/Specs!$D8)^2*Specs!$I8</f>
        <v>61.607897300603526</v>
      </c>
      <c r="O8" s="112">
        <v>40</v>
      </c>
      <c r="P8" s="118">
        <f t="shared" si="3"/>
        <v>0.15280833333333332</v>
      </c>
      <c r="Q8" s="122">
        <f t="shared" si="4"/>
        <v>0</v>
      </c>
      <c r="R8" s="123">
        <f t="shared" si="0"/>
        <v>0</v>
      </c>
      <c r="S8" s="127">
        <f t="shared" si="1"/>
        <v>61.607897300603526</v>
      </c>
      <c r="T8" s="129"/>
      <c r="U8" s="128">
        <f t="shared" si="5"/>
        <v>0</v>
      </c>
    </row>
    <row r="9" spans="1:21" ht="30" customHeight="1" x14ac:dyDescent="0.2">
      <c r="A9" s="4" t="str">
        <f t="shared" si="2"/>
        <v>Denso Window Motor (PN 262100-3030/3040) &lt;23.3W&gt;</v>
      </c>
      <c r="B9" s="4" t="s">
        <v>82</v>
      </c>
      <c r="C9" s="4" t="s">
        <v>78</v>
      </c>
      <c r="D9" s="19">
        <v>12</v>
      </c>
      <c r="E9" s="20">
        <v>84</v>
      </c>
      <c r="F9" s="21">
        <v>10.6</v>
      </c>
      <c r="G9" s="21">
        <v>18.600000000000001</v>
      </c>
      <c r="H9" s="21">
        <v>1.5</v>
      </c>
      <c r="I9" s="124">
        <f t="shared" si="6"/>
        <v>23.310617489636265</v>
      </c>
      <c r="J9" s="119">
        <f>Perfomance!$B$10/Specs!$D9*Specs!E9</f>
        <v>77</v>
      </c>
      <c r="K9" s="120">
        <f>Perfomance!$B$10/Specs!$D9*Specs!F9</f>
        <v>9.7166666666666668</v>
      </c>
      <c r="L9" s="120">
        <f>Perfomance!$B$10/Specs!$D9*Specs!G9</f>
        <v>17.05</v>
      </c>
      <c r="M9" s="120">
        <f>Perfomance!$B$10/Specs!$D9*Specs!H9</f>
        <v>1.375</v>
      </c>
      <c r="N9" s="126">
        <f>(Perfomance!$B$10/Specs!$D9)^2*Specs!$I9</f>
        <v>19.587393862819358</v>
      </c>
      <c r="O9" s="112">
        <v>20</v>
      </c>
      <c r="P9" s="118">
        <f t="shared" si="3"/>
        <v>9.7166666666666668</v>
      </c>
      <c r="Q9" s="122">
        <f t="shared" si="4"/>
        <v>0</v>
      </c>
      <c r="R9" s="123">
        <f t="shared" si="0"/>
        <v>0</v>
      </c>
      <c r="S9" s="127">
        <f t="shared" si="1"/>
        <v>19.587393862819358</v>
      </c>
      <c r="T9" s="129"/>
      <c r="U9" s="128">
        <f t="shared" si="5"/>
        <v>0</v>
      </c>
    </row>
    <row r="10" spans="1:21" ht="30" customHeight="1" x14ac:dyDescent="0.2">
      <c r="A10" s="4" t="str">
        <f t="shared" si="2"/>
        <v>2.5" CIM (PN FR801-001) &lt;337.8W&gt;</v>
      </c>
      <c r="B10" s="4" t="s">
        <v>83</v>
      </c>
      <c r="C10" s="4" t="s">
        <v>80</v>
      </c>
      <c r="D10" s="19">
        <v>12</v>
      </c>
      <c r="E10" s="20">
        <v>5310</v>
      </c>
      <c r="F10" s="21">
        <v>2.4300000000000002</v>
      </c>
      <c r="G10" s="21">
        <v>133</v>
      </c>
      <c r="H10" s="21">
        <v>2.7</v>
      </c>
      <c r="I10" s="124">
        <f t="shared" si="6"/>
        <v>337.80760405887651</v>
      </c>
      <c r="J10" s="119">
        <f>Perfomance!$B$10/Specs!$D10*Specs!E10</f>
        <v>4867.5</v>
      </c>
      <c r="K10" s="120">
        <f>Perfomance!$B$10/Specs!$D10*Specs!F10</f>
        <v>2.2275</v>
      </c>
      <c r="L10" s="120">
        <f>Perfomance!$B$10/Specs!$D10*Specs!G10</f>
        <v>121.91666666666666</v>
      </c>
      <c r="M10" s="120">
        <f>Perfomance!$B$10/Specs!$D10*Specs!H10</f>
        <v>2.4750000000000001</v>
      </c>
      <c r="N10" s="126">
        <f>(Perfomance!$B$10/Specs!$D10)^2*Specs!$I10</f>
        <v>283.85222285502812</v>
      </c>
      <c r="O10" s="112">
        <v>40</v>
      </c>
      <c r="P10" s="118">
        <f t="shared" si="3"/>
        <v>0.69981389102072145</v>
      </c>
      <c r="Q10" s="122">
        <f t="shared" si="4"/>
        <v>3338.2770529547197</v>
      </c>
      <c r="R10" s="123">
        <f t="shared" si="0"/>
        <v>244.64342821621042</v>
      </c>
      <c r="S10" s="127">
        <f t="shared" si="1"/>
        <v>244.64342821621042</v>
      </c>
      <c r="T10" s="129">
        <v>1</v>
      </c>
      <c r="U10" s="128">
        <f t="shared" si="5"/>
        <v>244.64342821621042</v>
      </c>
    </row>
    <row r="11" spans="1:21" ht="30" customHeight="1" x14ac:dyDescent="0.2">
      <c r="A11" s="4" t="str">
        <f t="shared" si="2"/>
        <v>Mabuchi Motor (PN RS555SH-2670) &lt;12.1W&gt;</v>
      </c>
      <c r="B11" s="4" t="s">
        <v>84</v>
      </c>
      <c r="C11" s="4" t="s">
        <v>75</v>
      </c>
      <c r="D11" s="19">
        <v>12</v>
      </c>
      <c r="E11" s="20">
        <v>4200</v>
      </c>
      <c r="F11" s="21">
        <v>0.11</v>
      </c>
      <c r="G11" s="21">
        <v>4.5</v>
      </c>
      <c r="H11" s="21">
        <v>0.09</v>
      </c>
      <c r="I11" s="124">
        <f t="shared" si="6"/>
        <v>12.095131716320704</v>
      </c>
      <c r="J11" s="119">
        <f>Perfomance!$B$10/Specs!$D11*Specs!E11</f>
        <v>3850</v>
      </c>
      <c r="K11" s="120">
        <f>Perfomance!$B$10/Specs!$D11*Specs!F11</f>
        <v>0.10083333333333333</v>
      </c>
      <c r="L11" s="120">
        <f>Perfomance!$B$10/Specs!$D11*Specs!G11</f>
        <v>4.125</v>
      </c>
      <c r="M11" s="120">
        <f>Perfomance!$B$10/Specs!$D11*Specs!H11</f>
        <v>8.249999999999999E-2</v>
      </c>
      <c r="N11" s="126">
        <f>(Perfomance!$B$10/Specs!$D11)^2*Specs!$I11</f>
        <v>10.16327040051948</v>
      </c>
      <c r="O11" s="112">
        <v>20</v>
      </c>
      <c r="P11" s="118">
        <f t="shared" si="3"/>
        <v>0.10083333333333333</v>
      </c>
      <c r="Q11" s="122">
        <f t="shared" si="4"/>
        <v>0</v>
      </c>
      <c r="R11" s="123">
        <f t="shared" si="0"/>
        <v>0</v>
      </c>
      <c r="S11" s="127">
        <f t="shared" si="1"/>
        <v>10.16327040051948</v>
      </c>
      <c r="T11" s="129"/>
      <c r="U11" s="128">
        <f t="shared" si="5"/>
        <v>0</v>
      </c>
    </row>
    <row r="12" spans="1:21" ht="30" customHeight="1" x14ac:dyDescent="0.2">
      <c r="A12" s="4" t="str">
        <f t="shared" si="2"/>
        <v>Mabuchi Motor (PN RS555VC-3754) &lt;29.3W&gt;</v>
      </c>
      <c r="B12" s="4" t="s">
        <v>84</v>
      </c>
      <c r="C12" s="4" t="s">
        <v>74</v>
      </c>
      <c r="D12" s="19">
        <v>12</v>
      </c>
      <c r="E12" s="20">
        <v>4000</v>
      </c>
      <c r="F12" s="21">
        <v>0.28000000000000003</v>
      </c>
      <c r="G12" s="21">
        <v>12</v>
      </c>
      <c r="H12" s="21">
        <v>0.2</v>
      </c>
      <c r="I12" s="124">
        <f t="shared" si="6"/>
        <v>29.321531433504735</v>
      </c>
      <c r="J12" s="119">
        <f>Perfomance!$B$10/Specs!$D12*Specs!E12</f>
        <v>3666.6666666666665</v>
      </c>
      <c r="K12" s="120">
        <f>Perfomance!$B$10/Specs!$D12*Specs!F12</f>
        <v>0.25666666666666665</v>
      </c>
      <c r="L12" s="120">
        <f>Perfomance!$B$10/Specs!$D12*Specs!G12</f>
        <v>11</v>
      </c>
      <c r="M12" s="120">
        <f>Perfomance!$B$10/Specs!$D12*Specs!H12</f>
        <v>0.18333333333333335</v>
      </c>
      <c r="N12" s="126">
        <f>(Perfomance!$B$10/Specs!$D12)^2*Specs!$I12</f>
        <v>24.638231273986616</v>
      </c>
      <c r="O12" s="112">
        <v>20</v>
      </c>
      <c r="P12" s="118">
        <f t="shared" si="3"/>
        <v>0.25666666666666665</v>
      </c>
      <c r="Q12" s="122">
        <f t="shared" si="4"/>
        <v>0</v>
      </c>
      <c r="R12" s="123">
        <f t="shared" si="0"/>
        <v>0</v>
      </c>
      <c r="S12" s="127">
        <f t="shared" si="1"/>
        <v>24.638231273986616</v>
      </c>
      <c r="T12" s="129"/>
      <c r="U12" s="128">
        <f t="shared" si="5"/>
        <v>0</v>
      </c>
    </row>
    <row r="13" spans="1:21" ht="30" customHeight="1" x14ac:dyDescent="0.2">
      <c r="A13" s="4" t="str">
        <f t="shared" si="2"/>
        <v>Fisher Price (PN 00968-9015) &lt;183.8W&gt;</v>
      </c>
      <c r="B13" s="4" t="s">
        <v>85</v>
      </c>
      <c r="C13" s="4" t="s">
        <v>86</v>
      </c>
      <c r="D13" s="19">
        <v>12</v>
      </c>
      <c r="E13" s="20">
        <v>15600</v>
      </c>
      <c r="F13" s="21">
        <v>0.45</v>
      </c>
      <c r="G13" s="21">
        <v>70</v>
      </c>
      <c r="H13" s="21">
        <v>1.25</v>
      </c>
      <c r="I13" s="124">
        <f t="shared" si="6"/>
        <v>183.78317023500287</v>
      </c>
      <c r="J13" s="119">
        <f>Perfomance!$B$10/Specs!$D13*Specs!E13</f>
        <v>14300</v>
      </c>
      <c r="K13" s="120">
        <f>Perfomance!$B$10/Specs!$D13*Specs!F13</f>
        <v>0.41249999999999998</v>
      </c>
      <c r="L13" s="120">
        <f>Perfomance!$B$10/Specs!$D13*Specs!G13</f>
        <v>64.166666666666657</v>
      </c>
      <c r="M13" s="120">
        <f>Perfomance!$B$10/Specs!$D13*Specs!H13</f>
        <v>1.1458333333333333</v>
      </c>
      <c r="N13" s="126">
        <f>(Perfomance!$B$10/Specs!$D13)^2*Specs!$I13</f>
        <v>154.42891387802322</v>
      </c>
      <c r="O13" s="112">
        <v>40</v>
      </c>
      <c r="P13" s="118">
        <f t="shared" si="3"/>
        <v>0.25431818181818183</v>
      </c>
      <c r="Q13" s="122">
        <f t="shared" si="4"/>
        <v>5483.6363636363621</v>
      </c>
      <c r="R13" s="123">
        <f t="shared" ref="R13:R18" si="7">$P13*$Q13*PI()/30</f>
        <v>146.04095885634717</v>
      </c>
      <c r="S13" s="127">
        <f t="shared" ref="S13:S18" si="8">IF($P13&lt;$K13/2,$R13,$N13)</f>
        <v>154.42891387802322</v>
      </c>
      <c r="T13" s="129">
        <v>1</v>
      </c>
      <c r="U13" s="128">
        <f t="shared" si="5"/>
        <v>154.42891387802322</v>
      </c>
    </row>
    <row r="14" spans="1:21" ht="30" customHeight="1" x14ac:dyDescent="0.2">
      <c r="A14" s="4" t="str">
        <f t="shared" si="2"/>
        <v>Bane Bots (with Gearbox) (PN RS-385) &lt;28.7W&gt;</v>
      </c>
      <c r="B14" s="4" t="s">
        <v>120</v>
      </c>
      <c r="C14" s="4" t="s">
        <v>119</v>
      </c>
      <c r="D14" s="19">
        <v>7.2</v>
      </c>
      <c r="E14" s="20">
        <v>818</v>
      </c>
      <c r="F14" s="21">
        <v>1.34</v>
      </c>
      <c r="G14" s="21">
        <v>17</v>
      </c>
      <c r="H14" s="21">
        <v>1</v>
      </c>
      <c r="I14" s="124">
        <f t="shared" ref="I14:I15" si="9">(F14/2)*(E14/2)*PI()/30</f>
        <v>28.696354495440367</v>
      </c>
      <c r="J14" s="119">
        <f>Perfomance!$B$10/Specs!$D14*Specs!E14</f>
        <v>1249.7222222222222</v>
      </c>
      <c r="K14" s="120">
        <f>Perfomance!$B$10/Specs!$D14*Specs!F14</f>
        <v>2.0472222222222221</v>
      </c>
      <c r="L14" s="120">
        <f>Perfomance!$B$10/Specs!$D14*Specs!G14</f>
        <v>25.972222222222221</v>
      </c>
      <c r="M14" s="120">
        <f>Perfomance!$B$10/Specs!$D14*Specs!H14</f>
        <v>1.5277777777777777</v>
      </c>
      <c r="N14" s="126">
        <f>(Perfomance!$B$10/Specs!$D14)^2*Specs!$I14</f>
        <v>66.980302738199924</v>
      </c>
      <c r="O14" s="112">
        <v>40</v>
      </c>
      <c r="P14" s="118">
        <f t="shared" si="3"/>
        <v>2.0472222222222221</v>
      </c>
      <c r="Q14" s="122">
        <f t="shared" si="4"/>
        <v>0</v>
      </c>
      <c r="R14" s="123">
        <f t="shared" si="7"/>
        <v>0</v>
      </c>
      <c r="S14" s="127">
        <f t="shared" si="8"/>
        <v>66.980302738199924</v>
      </c>
      <c r="T14" s="129"/>
      <c r="U14" s="128">
        <f t="shared" si="5"/>
        <v>0</v>
      </c>
    </row>
    <row r="15" spans="1:21" ht="30" customHeight="1" x14ac:dyDescent="0.2">
      <c r="A15" s="4" t="str">
        <f t="shared" si="2"/>
        <v>Bane Bots (PN RS-550) &lt;245.7W&gt;</v>
      </c>
      <c r="B15" s="4" t="s">
        <v>81</v>
      </c>
      <c r="C15" s="4" t="s">
        <v>140</v>
      </c>
      <c r="D15" s="19">
        <v>12</v>
      </c>
      <c r="E15" s="20">
        <v>19300</v>
      </c>
      <c r="F15" s="21">
        <v>0.48620000000000002</v>
      </c>
      <c r="G15" s="21">
        <v>85</v>
      </c>
      <c r="H15" s="21">
        <v>1.4</v>
      </c>
      <c r="I15" s="124">
        <f t="shared" si="9"/>
        <v>245.66364433153663</v>
      </c>
      <c r="J15" s="119">
        <f>Perfomance!$B$10/Specs!$D15*Specs!E15</f>
        <v>17691.666666666664</v>
      </c>
      <c r="K15" s="120">
        <f>Perfomance!$B$10/Specs!$D15*Specs!F15</f>
        <v>0.44568333333333332</v>
      </c>
      <c r="L15" s="120">
        <f>Perfomance!$B$10/Specs!$D15*Specs!G15</f>
        <v>77.916666666666657</v>
      </c>
      <c r="M15" s="120">
        <f>Perfomance!$B$10/Specs!$D15*Specs!H15</f>
        <v>1.2833333333333332</v>
      </c>
      <c r="N15" s="126">
        <f>(Perfomance!$B$10/Specs!$D15)^2*Specs!$I15</f>
        <v>206.42570113969396</v>
      </c>
      <c r="O15" s="112">
        <v>30</v>
      </c>
      <c r="P15" s="118">
        <f t="shared" si="3"/>
        <v>0.16701008771929826</v>
      </c>
      <c r="Q15" s="122">
        <f t="shared" si="4"/>
        <v>11062.101275917063</v>
      </c>
      <c r="R15" s="123">
        <f t="shared" si="7"/>
        <v>193.46791545392989</v>
      </c>
      <c r="S15" s="127">
        <f t="shared" si="8"/>
        <v>193.46791545392989</v>
      </c>
      <c r="T15" s="129"/>
      <c r="U15" s="128">
        <f t="shared" si="5"/>
        <v>0</v>
      </c>
    </row>
    <row r="16" spans="1:21" ht="30" customHeight="1" x14ac:dyDescent="0.2">
      <c r="A16" s="4" t="str">
        <f t="shared" ref="A16" si="10">B16&amp;" (PN "&amp;C16&amp;") &lt;"&amp;TEXT($I16,"#.#")&amp;"W&gt;"</f>
        <v>Bane Bots (PN RS-775-18) &lt;271.2W&gt;</v>
      </c>
      <c r="B16" s="4" t="s">
        <v>81</v>
      </c>
      <c r="C16" s="4" t="s">
        <v>135</v>
      </c>
      <c r="D16" s="19">
        <v>18</v>
      </c>
      <c r="E16" s="20">
        <v>13000</v>
      </c>
      <c r="F16" s="21">
        <v>0.79695000000000005</v>
      </c>
      <c r="G16" s="21">
        <v>86.7</v>
      </c>
      <c r="H16" s="21">
        <v>1.8</v>
      </c>
      <c r="I16" s="124">
        <f t="shared" ref="I16" si="11">(F16/2)*(E16/2)*PI()/30</f>
        <v>271.23332873849182</v>
      </c>
      <c r="J16" s="119">
        <f>Perfomance!$B$10/Specs!$D16*Specs!E16</f>
        <v>7944.4444444444453</v>
      </c>
      <c r="K16" s="120">
        <f>Perfomance!$B$10/Specs!$D16*Specs!F16</f>
        <v>0.48702500000000004</v>
      </c>
      <c r="L16" s="120">
        <f>Perfomance!$B$10/Specs!$D16*Specs!G16</f>
        <v>52.983333333333341</v>
      </c>
      <c r="M16" s="120">
        <f>Perfomance!$B$10/Specs!$D16*Specs!H16</f>
        <v>1.1000000000000001</v>
      </c>
      <c r="N16" s="126">
        <f>(Perfomance!$B$10/Specs!$D16)^2*Specs!$I16</f>
        <v>101.29392832517752</v>
      </c>
      <c r="O16" s="112">
        <v>30</v>
      </c>
      <c r="P16" s="118">
        <f t="shared" si="3"/>
        <v>0.27128215547703177</v>
      </c>
      <c r="Q16" s="122">
        <f t="shared" si="4"/>
        <v>3519.2383195916773</v>
      </c>
      <c r="R16" s="123">
        <f t="shared" si="7"/>
        <v>99.976636857680901</v>
      </c>
      <c r="S16" s="127">
        <f t="shared" si="8"/>
        <v>101.29392832517752</v>
      </c>
      <c r="T16" s="129"/>
      <c r="U16" s="128">
        <f t="shared" si="5"/>
        <v>0</v>
      </c>
    </row>
    <row r="17" spans="1:21" ht="30" customHeight="1" x14ac:dyDescent="0.2">
      <c r="A17" s="4" t="str">
        <f t="shared" ref="A17" si="12">B17&amp;" (PN "&amp;C17&amp;") &lt;"&amp;TEXT($I17,"#.#")&amp;"W&gt;"</f>
        <v>Andy mark 9015 (PN am-0912) &lt;179.5W&gt;</v>
      </c>
      <c r="B17" s="4" t="s">
        <v>136</v>
      </c>
      <c r="C17" s="4" t="s">
        <v>137</v>
      </c>
      <c r="D17" s="19">
        <v>12</v>
      </c>
      <c r="E17" s="20">
        <v>16000</v>
      </c>
      <c r="F17" s="21">
        <v>0.42859999999999998</v>
      </c>
      <c r="G17" s="21">
        <v>63.8</v>
      </c>
      <c r="H17" s="21">
        <v>1.2</v>
      </c>
      <c r="I17" s="124">
        <f t="shared" ref="I17" si="13">(F17/2)*(E17/2)*PI()/30</f>
        <v>179.53154817714469</v>
      </c>
      <c r="J17" s="119">
        <f>Perfomance!$B$10/Specs!$D17*Specs!E17</f>
        <v>14666.666666666666</v>
      </c>
      <c r="K17" s="120">
        <f>Perfomance!$B$10/Specs!$D17*Specs!F17</f>
        <v>0.39288333333333331</v>
      </c>
      <c r="L17" s="120">
        <f>Perfomance!$B$10/Specs!$D17*Specs!G17</f>
        <v>58.483333333333327</v>
      </c>
      <c r="M17" s="120">
        <f>Perfomance!$B$10/Specs!$D17*Specs!H17</f>
        <v>1.0999999999999999</v>
      </c>
      <c r="N17" s="126">
        <f>(Perfomance!$B$10/Specs!$D17)^2*Specs!$I17</f>
        <v>150.85637034329517</v>
      </c>
      <c r="O17" s="112">
        <v>40</v>
      </c>
      <c r="P17" s="118">
        <f t="shared" si="3"/>
        <v>0.26633450479233228</v>
      </c>
      <c r="Q17" s="122">
        <f t="shared" si="4"/>
        <v>4724.1746538871139</v>
      </c>
      <c r="R17" s="123">
        <f t="shared" si="7"/>
        <v>131.75951817270158</v>
      </c>
      <c r="S17" s="127">
        <f t="shared" si="8"/>
        <v>150.85637034329517</v>
      </c>
      <c r="T17" s="129"/>
      <c r="U17" s="128">
        <f t="shared" si="5"/>
        <v>0</v>
      </c>
    </row>
    <row r="18" spans="1:21" ht="30" customHeight="1" x14ac:dyDescent="0.2">
      <c r="A18" s="4" t="str">
        <f t="shared" ref="A18" si="14">B18&amp;" (PN "&amp;C18&amp;") &lt;"&amp;TEXT($I18,"#.#")&amp;"W&gt;"</f>
        <v>PG71 Gearmotor (PN am-0914) &lt;48.2W&gt;</v>
      </c>
      <c r="B18" s="4" t="s">
        <v>138</v>
      </c>
      <c r="C18" s="4" t="s">
        <v>139</v>
      </c>
      <c r="D18" s="19">
        <v>12</v>
      </c>
      <c r="E18" s="20">
        <v>84</v>
      </c>
      <c r="F18" s="21">
        <v>21.896999999999998</v>
      </c>
      <c r="G18" s="21">
        <v>22</v>
      </c>
      <c r="H18" s="21">
        <v>0.6</v>
      </c>
      <c r="I18" s="124">
        <f t="shared" ref="I18" si="15">(F18/2)*(E18/2)*PI()/30</f>
        <v>48.154018034958987</v>
      </c>
      <c r="J18" s="119">
        <f>Perfomance!$B$10/Specs!$D18*Specs!E18</f>
        <v>77</v>
      </c>
      <c r="K18" s="120">
        <f>Perfomance!$B$10/Specs!$D18*Specs!F18</f>
        <v>20.072249999999997</v>
      </c>
      <c r="L18" s="120">
        <f>Perfomance!$B$10/Specs!$D18*Specs!G18</f>
        <v>20.166666666666664</v>
      </c>
      <c r="M18" s="120">
        <f>Perfomance!$B$10/Specs!$D18*Specs!H18</f>
        <v>0.54999999999999993</v>
      </c>
      <c r="N18" s="126">
        <f>(Perfomance!$B$10/Specs!$D18)^2*Specs!$I18</f>
        <v>40.462751265486368</v>
      </c>
      <c r="O18" s="112">
        <v>20</v>
      </c>
      <c r="P18" s="118">
        <f t="shared" si="3"/>
        <v>19.901712616822429</v>
      </c>
      <c r="Q18" s="122">
        <f t="shared" si="4"/>
        <v>0.65420560747662648</v>
      </c>
      <c r="R18" s="123">
        <f t="shared" si="7"/>
        <v>1.3634315235390855</v>
      </c>
      <c r="S18" s="127">
        <f t="shared" si="8"/>
        <v>40.462751265486368</v>
      </c>
      <c r="T18" s="129"/>
      <c r="U18" s="128">
        <f t="shared" si="5"/>
        <v>0</v>
      </c>
    </row>
  </sheetData>
  <mergeCells count="2">
    <mergeCell ref="D3:H3"/>
    <mergeCell ref="J3:N3"/>
  </mergeCells>
  <phoneticPr fontId="0" type="noConversion"/>
  <printOptions horizontalCentered="1"/>
  <pageMargins left="0.25" right="0.25" top="0.25" bottom="0.25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indexed="15"/>
  </sheetPr>
  <dimension ref="A1:N55"/>
  <sheetViews>
    <sheetView showGridLines="0" workbookViewId="0">
      <pane ySplit="4" topLeftCell="A35" activePane="bottomLeft" state="frozen"/>
      <selection pane="bottomLeft" activeCell="A34" sqref="A34"/>
    </sheetView>
  </sheetViews>
  <sheetFormatPr defaultColWidth="8.85546875" defaultRowHeight="12.75" x14ac:dyDescent="0.2"/>
  <cols>
    <col min="1" max="1" width="10" customWidth="1"/>
    <col min="2" max="2" width="10.42578125" customWidth="1"/>
    <col min="3" max="3" width="10" customWidth="1"/>
    <col min="4" max="4" width="10.42578125" customWidth="1"/>
    <col min="5" max="6" width="10" customWidth="1"/>
    <col min="7" max="7" width="10.42578125" customWidth="1"/>
    <col min="8" max="8" width="11.42578125" customWidth="1"/>
    <col min="9" max="10" width="10" customWidth="1"/>
    <col min="11" max="14" width="10.42578125" customWidth="1"/>
    <col min="15" max="16384" width="8.85546875" style="88"/>
  </cols>
  <sheetData>
    <row r="1" spans="1:14" s="86" customFormat="1" ht="18" x14ac:dyDescent="0.25">
      <c r="A1" s="7" t="s">
        <v>26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</row>
    <row r="2" spans="1:14" s="87" customFormat="1" x14ac:dyDescent="0.2">
      <c r="A2" s="82" t="s">
        <v>0</v>
      </c>
      <c r="B2" s="82"/>
      <c r="C2" s="82"/>
      <c r="D2" s="82"/>
      <c r="E2" s="82"/>
      <c r="F2" s="82"/>
      <c r="G2" s="85"/>
      <c r="H2" s="82"/>
      <c r="I2" s="84"/>
      <c r="J2" s="82"/>
      <c r="K2" s="82"/>
      <c r="L2" s="82"/>
      <c r="M2" s="82"/>
      <c r="N2" s="83" t="s">
        <v>94</v>
      </c>
    </row>
    <row r="4" spans="1:14" s="89" customFormat="1" ht="45" customHeight="1" x14ac:dyDescent="0.2">
      <c r="A4" s="5" t="s">
        <v>14</v>
      </c>
      <c r="B4" s="6" t="s">
        <v>16</v>
      </c>
      <c r="C4" s="5" t="s">
        <v>13</v>
      </c>
      <c r="D4" s="5" t="s">
        <v>17</v>
      </c>
      <c r="E4" s="5" t="s">
        <v>9</v>
      </c>
      <c r="F4" s="5" t="s">
        <v>18</v>
      </c>
      <c r="G4" s="5" t="s">
        <v>10</v>
      </c>
      <c r="H4" s="5" t="s">
        <v>15</v>
      </c>
      <c r="I4" s="5" t="s">
        <v>11</v>
      </c>
      <c r="J4" s="5" t="s">
        <v>19</v>
      </c>
      <c r="K4" s="23" t="s">
        <v>17</v>
      </c>
      <c r="L4" s="23" t="s">
        <v>18</v>
      </c>
      <c r="M4" s="23" t="s">
        <v>15</v>
      </c>
      <c r="N4" s="23" t="s">
        <v>19</v>
      </c>
    </row>
    <row r="5" spans="1:14" x14ac:dyDescent="0.2">
      <c r="A5" s="29">
        <v>0</v>
      </c>
      <c r="B5" s="30">
        <f ca="1">ROUND(A5/Perfomance!$D$10,2)</f>
        <v>0</v>
      </c>
      <c r="C5" s="31">
        <f ca="1">-(Perfomance!$C$10/Perfomance!$D$10)*$A5+Perfomance!$C$10</f>
        <v>17691.666666666664</v>
      </c>
      <c r="D5" s="30">
        <f ca="1">$C5/Perfomance!$C$10</f>
        <v>1</v>
      </c>
      <c r="E5" s="32">
        <f ca="1">(Perfomance!$E$10-Perfomance!$F$10)/Perfomance!$D$10*$A5+Perfomance!$F$10</f>
        <v>1.2833333333333332</v>
      </c>
      <c r="F5" s="30">
        <f ca="1">$E5/Perfomance!$E$10</f>
        <v>1.6470588235294119E-2</v>
      </c>
      <c r="G5" s="32">
        <f t="shared" ref="G5:G36" ca="1" si="0">$A5*$C5*2*PI()/60</f>
        <v>0</v>
      </c>
      <c r="H5" s="30">
        <f ca="1">$G5/Perfomance!$G$10</f>
        <v>0</v>
      </c>
      <c r="I5" s="32">
        <f ca="1">$E5*Perfomance!$B$10</f>
        <v>14.116666666666665</v>
      </c>
      <c r="J5" s="30">
        <f t="shared" ref="J5:J36" ca="1" si="1">IF($I5=0,0,$G5/$I5)</f>
        <v>0</v>
      </c>
      <c r="K5" s="33">
        <f ca="1">IF($E5&lt;=Perfomance!$B$5,Calculation!$D5,#N/A)</f>
        <v>1</v>
      </c>
      <c r="L5" s="33">
        <f ca="1">IF($E5&lt;=Perfomance!$B$5,Calculation!$F5,#N/A)</f>
        <v>1.6470588235294119E-2</v>
      </c>
      <c r="M5" s="33">
        <f ca="1">IF($E5&lt;=Perfomance!$B$5,Calculation!$H5,#N/A)</f>
        <v>0</v>
      </c>
      <c r="N5" s="33">
        <f ca="1">IF($E5&lt;=Perfomance!$B$5,Calculation!$J5,#N/A)</f>
        <v>0</v>
      </c>
    </row>
    <row r="6" spans="1:14" x14ac:dyDescent="0.2">
      <c r="A6" s="24">
        <f ca="1">A5+Perfomance!$D$10/50</f>
        <v>8.913666666666667E-3</v>
      </c>
      <c r="B6" s="25">
        <f ca="1">ROUND(A6/Perfomance!$D$10,2)</f>
        <v>0.02</v>
      </c>
      <c r="C6" s="26">
        <f ca="1">-(Perfomance!$C$10/Perfomance!$D$10)*$A6+Perfomance!$C$10</f>
        <v>17337.833333333332</v>
      </c>
      <c r="D6" s="25">
        <f ca="1">$C6/Perfomance!$C$10</f>
        <v>0.98000000000000009</v>
      </c>
      <c r="E6" s="27">
        <f ca="1">(Perfomance!$E$10-Perfomance!$F$10)/Perfomance!$D$10*$A6+Perfomance!$F$10</f>
        <v>2.8159999999999998</v>
      </c>
      <c r="F6" s="25">
        <f ca="1">$E6/Perfomance!$E$10</f>
        <v>3.6141176470588239E-2</v>
      </c>
      <c r="G6" s="27">
        <f t="shared" ca="1" si="0"/>
        <v>16.183774969352008</v>
      </c>
      <c r="H6" s="25">
        <f ca="1">$G6/Perfomance!$G$10</f>
        <v>7.8400000000000011E-2</v>
      </c>
      <c r="I6" s="27">
        <f ca="1">$E6*Perfomance!$B$10</f>
        <v>30.975999999999999</v>
      </c>
      <c r="J6" s="25">
        <f t="shared" ca="1" si="1"/>
        <v>0.52246174358703545</v>
      </c>
      <c r="K6" s="28">
        <f ca="1">IF($E6&lt;=Perfomance!$B$5,Calculation!$D6,#N/A)</f>
        <v>0.98000000000000009</v>
      </c>
      <c r="L6" s="28">
        <f ca="1">IF($E6&lt;=Perfomance!$B$5,Calculation!$F6,#N/A)</f>
        <v>3.6141176470588239E-2</v>
      </c>
      <c r="M6" s="28">
        <f ca="1">IF($E6&lt;=Perfomance!$B$5,Calculation!$H6,#N/A)</f>
        <v>7.8400000000000011E-2</v>
      </c>
      <c r="N6" s="28">
        <f ca="1">IF($E6&lt;=Perfomance!$B$5,Calculation!$J6,#N/A)</f>
        <v>0.52246174358703545</v>
      </c>
    </row>
    <row r="7" spans="1:14" x14ac:dyDescent="0.2">
      <c r="A7" s="24">
        <f ca="1">A6+Perfomance!$D$10/50</f>
        <v>1.7827333333333334E-2</v>
      </c>
      <c r="B7" s="25">
        <f ca="1">ROUND(A7/Perfomance!$D$10,2)</f>
        <v>0.04</v>
      </c>
      <c r="C7" s="26">
        <f ca="1">-(Perfomance!$C$10/Perfomance!$D$10)*$A7+Perfomance!$C$10</f>
        <v>16983.999999999996</v>
      </c>
      <c r="D7" s="25">
        <f ca="1">$C7/Perfomance!$C$10</f>
        <v>0.96</v>
      </c>
      <c r="E7" s="27">
        <f ca="1">(Perfomance!$E$10-Perfomance!$F$10)/Perfomance!$D$10*$A7+Perfomance!$F$10</f>
        <v>4.3486666666666665</v>
      </c>
      <c r="F7" s="25">
        <f ca="1">$E7/Perfomance!$E$10</f>
        <v>5.5811764705882359E-2</v>
      </c>
      <c r="G7" s="27">
        <f t="shared" ca="1" si="0"/>
        <v>31.706987695056988</v>
      </c>
      <c r="H7" s="25">
        <f ca="1">$G7/Perfomance!$G$10</f>
        <v>0.15359999999999999</v>
      </c>
      <c r="I7" s="27">
        <f ca="1">$E7*Perfomance!$B$10</f>
        <v>47.835333333333331</v>
      </c>
      <c r="J7" s="25">
        <f t="shared" ca="1" si="1"/>
        <v>0.66283613984900258</v>
      </c>
      <c r="K7" s="28">
        <f ca="1">IF($E7&lt;=Perfomance!$B$5,Calculation!$D7,#N/A)</f>
        <v>0.96</v>
      </c>
      <c r="L7" s="28">
        <f ca="1">IF($E7&lt;=Perfomance!$B$5,Calculation!$F7,#N/A)</f>
        <v>5.5811764705882359E-2</v>
      </c>
      <c r="M7" s="28">
        <f ca="1">IF($E7&lt;=Perfomance!$B$5,Calculation!$H7,#N/A)</f>
        <v>0.15359999999999999</v>
      </c>
      <c r="N7" s="28">
        <f ca="1">IF($E7&lt;=Perfomance!$B$5,Calculation!$J7,#N/A)</f>
        <v>0.66283613984900258</v>
      </c>
    </row>
    <row r="8" spans="1:14" x14ac:dyDescent="0.2">
      <c r="A8" s="24">
        <f ca="1">A7+Perfomance!$D$10/50</f>
        <v>2.6741000000000001E-2</v>
      </c>
      <c r="B8" s="25">
        <f ca="1">ROUND(A8/Perfomance!$D$10,2)</f>
        <v>0.06</v>
      </c>
      <c r="C8" s="26">
        <f ca="1">-(Perfomance!$C$10/Perfomance!$D$10)*$A8+Perfomance!$C$10</f>
        <v>16630.166666666664</v>
      </c>
      <c r="D8" s="25">
        <f ca="1">$C8/Perfomance!$C$10</f>
        <v>0.94</v>
      </c>
      <c r="E8" s="27">
        <f ca="1">(Perfomance!$E$10-Perfomance!$F$10)/Perfomance!$D$10*$A8+Perfomance!$F$10</f>
        <v>5.8813333333333331</v>
      </c>
      <c r="F8" s="25">
        <f ca="1">$E8/Perfomance!$E$10</f>
        <v>7.5482352941176473E-2</v>
      </c>
      <c r="G8" s="27">
        <f t="shared" ca="1" si="0"/>
        <v>46.56963817711496</v>
      </c>
      <c r="H8" s="25">
        <f ca="1">$G8/Perfomance!$G$10</f>
        <v>0.22560000000000002</v>
      </c>
      <c r="I8" s="27">
        <f ca="1">$E8*Perfomance!$B$10</f>
        <v>64.694666666666663</v>
      </c>
      <c r="J8" s="25">
        <f t="shared" ca="1" si="1"/>
        <v>0.71983736181934055</v>
      </c>
      <c r="K8" s="28">
        <f ca="1">IF($E8&lt;=Perfomance!$B$5,Calculation!$D8,#N/A)</f>
        <v>0.94</v>
      </c>
      <c r="L8" s="28">
        <f ca="1">IF($E8&lt;=Perfomance!$B$5,Calculation!$F8,#N/A)</f>
        <v>7.5482352941176473E-2</v>
      </c>
      <c r="M8" s="28">
        <f ca="1">IF($E8&lt;=Perfomance!$B$5,Calculation!$H8,#N/A)</f>
        <v>0.22560000000000002</v>
      </c>
      <c r="N8" s="28">
        <f ca="1">IF($E8&lt;=Perfomance!$B$5,Calculation!$J8,#N/A)</f>
        <v>0.71983736181934055</v>
      </c>
    </row>
    <row r="9" spans="1:14" x14ac:dyDescent="0.2">
      <c r="A9" s="24">
        <f ca="1">A8+Perfomance!$D$10/50</f>
        <v>3.5654666666666668E-2</v>
      </c>
      <c r="B9" s="25">
        <f ca="1">ROUND(A9/Perfomance!$D$10,2)</f>
        <v>0.08</v>
      </c>
      <c r="C9" s="26">
        <f ca="1">-(Perfomance!$C$10/Perfomance!$D$10)*$A9+Perfomance!$C$10</f>
        <v>16276.33333333333</v>
      </c>
      <c r="D9" s="25">
        <f ca="1">$C9/Perfomance!$C$10</f>
        <v>0.91999999999999993</v>
      </c>
      <c r="E9" s="27">
        <f ca="1">(Perfomance!$E$10-Perfomance!$F$10)/Perfomance!$D$10*$A9+Perfomance!$F$10</f>
        <v>7.4139999999999997</v>
      </c>
      <c r="F9" s="25">
        <f ca="1">$E9/Perfomance!$E$10</f>
        <v>9.5152941176470593E-2</v>
      </c>
      <c r="G9" s="27">
        <f t="shared" ca="1" si="0"/>
        <v>60.771726415525904</v>
      </c>
      <c r="H9" s="25">
        <f ca="1">$G9/Perfomance!$G$10</f>
        <v>0.2944</v>
      </c>
      <c r="I9" s="27">
        <f ca="1">$E9*Perfomance!$B$10</f>
        <v>81.554000000000002</v>
      </c>
      <c r="J9" s="25">
        <f t="shared" ca="1" si="1"/>
        <v>0.74517162144745697</v>
      </c>
      <c r="K9" s="28">
        <f ca="1">IF($E9&lt;=Perfomance!$B$5,Calculation!$D9,#N/A)</f>
        <v>0.91999999999999993</v>
      </c>
      <c r="L9" s="28">
        <f ca="1">IF($E9&lt;=Perfomance!$B$5,Calculation!$F9,#N/A)</f>
        <v>9.5152941176470593E-2</v>
      </c>
      <c r="M9" s="28">
        <f ca="1">IF($E9&lt;=Perfomance!$B$5,Calculation!$H9,#N/A)</f>
        <v>0.2944</v>
      </c>
      <c r="N9" s="28">
        <f ca="1">IF($E9&lt;=Perfomance!$B$5,Calculation!$J9,#N/A)</f>
        <v>0.74517162144745697</v>
      </c>
    </row>
    <row r="10" spans="1:14" x14ac:dyDescent="0.2">
      <c r="A10" s="24">
        <f ca="1">A9+Perfomance!$D$10/50</f>
        <v>4.4568333333333335E-2</v>
      </c>
      <c r="B10" s="25">
        <f ca="1">ROUND(A10/Perfomance!$D$10,2)</f>
        <v>0.1</v>
      </c>
      <c r="C10" s="26">
        <f ca="1">-(Perfomance!$C$10/Perfomance!$D$10)*$A10+Perfomance!$C$10</f>
        <v>15922.499999999998</v>
      </c>
      <c r="D10" s="25">
        <f ca="1">$C10/Perfomance!$C$10</f>
        <v>0.9</v>
      </c>
      <c r="E10" s="27">
        <f ca="1">(Perfomance!$E$10-Perfomance!$F$10)/Perfomance!$D$10*$A10+Perfomance!$F$10</f>
        <v>8.9466666666666654</v>
      </c>
      <c r="F10" s="25">
        <f ca="1">$E10/Perfomance!$E$10</f>
        <v>0.1148235294117647</v>
      </c>
      <c r="G10" s="27">
        <f t="shared" ca="1" si="0"/>
        <v>74.31325241028982</v>
      </c>
      <c r="H10" s="25">
        <f ca="1">$G10/Perfomance!$G$10</f>
        <v>0.36</v>
      </c>
      <c r="I10" s="27">
        <f ca="1">$E10*Perfomance!$B$10</f>
        <v>98.413333333333327</v>
      </c>
      <c r="J10" s="25">
        <f t="shared" ca="1" si="1"/>
        <v>0.75511366085513298</v>
      </c>
      <c r="K10" s="28">
        <f ca="1">IF($E10&lt;=Perfomance!$B$5,Calculation!$D10,#N/A)</f>
        <v>0.9</v>
      </c>
      <c r="L10" s="28">
        <f ca="1">IF($E10&lt;=Perfomance!$B$5,Calculation!$F10,#N/A)</f>
        <v>0.1148235294117647</v>
      </c>
      <c r="M10" s="28">
        <f ca="1">IF($E10&lt;=Perfomance!$B$5,Calculation!$H10,#N/A)</f>
        <v>0.36</v>
      </c>
      <c r="N10" s="28">
        <f ca="1">IF($E10&lt;=Perfomance!$B$5,Calculation!$J10,#N/A)</f>
        <v>0.75511366085513298</v>
      </c>
    </row>
    <row r="11" spans="1:14" x14ac:dyDescent="0.2">
      <c r="A11" s="24">
        <f ca="1">A10+Perfomance!$D$10/50</f>
        <v>5.3482000000000002E-2</v>
      </c>
      <c r="B11" s="25">
        <f ca="1">ROUND(A11/Perfomance!$D$10,2)</f>
        <v>0.12</v>
      </c>
      <c r="C11" s="26">
        <f ca="1">-(Perfomance!$C$10/Perfomance!$D$10)*$A11+Perfomance!$C$10</f>
        <v>15568.666666666664</v>
      </c>
      <c r="D11" s="25">
        <f ca="1">$C11/Perfomance!$C$10</f>
        <v>0.88</v>
      </c>
      <c r="E11" s="27">
        <f ca="1">(Perfomance!$E$10-Perfomance!$F$10)/Perfomance!$D$10*$A11+Perfomance!$F$10</f>
        <v>10.479333333333333</v>
      </c>
      <c r="F11" s="25">
        <f ca="1">$E11/Perfomance!$E$10</f>
        <v>0.13449411764705885</v>
      </c>
      <c r="G11" s="27">
        <f t="shared" ca="1" si="0"/>
        <v>87.194216161406729</v>
      </c>
      <c r="H11" s="25">
        <f ca="1">$G11/Perfomance!$G$10</f>
        <v>0.4224</v>
      </c>
      <c r="I11" s="27">
        <f ca="1">$E11*Perfomance!$B$10</f>
        <v>115.27266666666667</v>
      </c>
      <c r="J11" s="25">
        <f t="shared" ca="1" si="1"/>
        <v>0.75641709941130941</v>
      </c>
      <c r="K11" s="28">
        <f ca="1">IF($E11&lt;=Perfomance!$B$5,Calculation!$D11,#N/A)</f>
        <v>0.88</v>
      </c>
      <c r="L11" s="28">
        <f ca="1">IF($E11&lt;=Perfomance!$B$5,Calculation!$F11,#N/A)</f>
        <v>0.13449411764705885</v>
      </c>
      <c r="M11" s="28">
        <f ca="1">IF($E11&lt;=Perfomance!$B$5,Calculation!$H11,#N/A)</f>
        <v>0.4224</v>
      </c>
      <c r="N11" s="28">
        <f ca="1">IF($E11&lt;=Perfomance!$B$5,Calculation!$J11,#N/A)</f>
        <v>0.75641709941130941</v>
      </c>
    </row>
    <row r="12" spans="1:14" x14ac:dyDescent="0.2">
      <c r="A12" s="24">
        <f ca="1">A11+Perfomance!$D$10/50</f>
        <v>6.2395666666666669E-2</v>
      </c>
      <c r="B12" s="25">
        <f ca="1">ROUND(A12/Perfomance!$D$10,2)</f>
        <v>0.14000000000000001</v>
      </c>
      <c r="C12" s="26">
        <f ca="1">-(Perfomance!$C$10/Perfomance!$D$10)*$A12+Perfomance!$C$10</f>
        <v>15214.833333333332</v>
      </c>
      <c r="D12" s="25">
        <f ca="1">$C12/Perfomance!$C$10</f>
        <v>0.8600000000000001</v>
      </c>
      <c r="E12" s="27">
        <f ca="1">(Perfomance!$E$10-Perfomance!$F$10)/Perfomance!$D$10*$A12+Perfomance!$F$10</f>
        <v>12.011999999999999</v>
      </c>
      <c r="F12" s="25">
        <f ca="1">$E12/Perfomance!$E$10</f>
        <v>0.15416470588235295</v>
      </c>
      <c r="G12" s="27">
        <f t="shared" ca="1" si="0"/>
        <v>99.41461766887663</v>
      </c>
      <c r="H12" s="25">
        <f ca="1">$G12/Perfomance!$G$10</f>
        <v>0.48160000000000008</v>
      </c>
      <c r="I12" s="27">
        <f ca="1">$E12*Perfomance!$B$10</f>
        <v>132.13199999999998</v>
      </c>
      <c r="J12" s="25">
        <f t="shared" ca="1" si="1"/>
        <v>0.75238865429174351</v>
      </c>
      <c r="K12" s="28">
        <f ca="1">IF($E12&lt;=Perfomance!$B$5,Calculation!$D12,#N/A)</f>
        <v>0.8600000000000001</v>
      </c>
      <c r="L12" s="28">
        <f ca="1">IF($E12&lt;=Perfomance!$B$5,Calculation!$F12,#N/A)</f>
        <v>0.15416470588235295</v>
      </c>
      <c r="M12" s="28">
        <f ca="1">IF($E12&lt;=Perfomance!$B$5,Calculation!$H12,#N/A)</f>
        <v>0.48160000000000008</v>
      </c>
      <c r="N12" s="28">
        <f ca="1">IF($E12&lt;=Perfomance!$B$5,Calculation!$J12,#N/A)</f>
        <v>0.75238865429174351</v>
      </c>
    </row>
    <row r="13" spans="1:14" x14ac:dyDescent="0.2">
      <c r="A13" s="24">
        <f ca="1">A12+Perfomance!$D$10/50</f>
        <v>7.1309333333333336E-2</v>
      </c>
      <c r="B13" s="25">
        <f ca="1">ROUND(A13/Perfomance!$D$10,2)</f>
        <v>0.16</v>
      </c>
      <c r="C13" s="26">
        <f ca="1">-(Perfomance!$C$10/Perfomance!$D$10)*$A13+Perfomance!$C$10</f>
        <v>14860.999999999998</v>
      </c>
      <c r="D13" s="25">
        <f ca="1">$C13/Perfomance!$C$10</f>
        <v>0.84</v>
      </c>
      <c r="E13" s="27">
        <f ca="1">(Perfomance!$E$10-Perfomance!$F$10)/Perfomance!$D$10*$A13+Perfomance!$F$10</f>
        <v>13.544666666666666</v>
      </c>
      <c r="F13" s="25">
        <f ca="1">$E13/Perfomance!$E$10</f>
        <v>0.17383529411764706</v>
      </c>
      <c r="G13" s="27">
        <f t="shared" ca="1" si="0"/>
        <v>110.97445693269947</v>
      </c>
      <c r="H13" s="25">
        <f ca="1">$G13/Perfomance!$G$10</f>
        <v>0.53759999999999997</v>
      </c>
      <c r="I13" s="27">
        <f ca="1">$E13*Perfomance!$B$10</f>
        <v>148.99133333333333</v>
      </c>
      <c r="J13" s="25">
        <f t="shared" ca="1" si="1"/>
        <v>0.74483833690124801</v>
      </c>
      <c r="K13" s="28">
        <f ca="1">IF($E13&lt;=Perfomance!$B$5,Calculation!$D13,#N/A)</f>
        <v>0.84</v>
      </c>
      <c r="L13" s="28">
        <f ca="1">IF($E13&lt;=Perfomance!$B$5,Calculation!$F13,#N/A)</f>
        <v>0.17383529411764706</v>
      </c>
      <c r="M13" s="28">
        <f ca="1">IF($E13&lt;=Perfomance!$B$5,Calculation!$H13,#N/A)</f>
        <v>0.53759999999999997</v>
      </c>
      <c r="N13" s="28">
        <f ca="1">IF($E13&lt;=Perfomance!$B$5,Calculation!$J13,#N/A)</f>
        <v>0.74483833690124801</v>
      </c>
    </row>
    <row r="14" spans="1:14" x14ac:dyDescent="0.2">
      <c r="A14" s="24">
        <f ca="1">A13+Perfomance!$D$10/50</f>
        <v>8.0223000000000003E-2</v>
      </c>
      <c r="B14" s="25">
        <f ca="1">ROUND(A14/Perfomance!$D$10,2)</f>
        <v>0.18</v>
      </c>
      <c r="C14" s="26">
        <f ca="1">-(Perfomance!$C$10/Perfomance!$D$10)*$A14+Perfomance!$C$10</f>
        <v>14507.166666666664</v>
      </c>
      <c r="D14" s="25">
        <f ca="1">$C14/Perfomance!$C$10</f>
        <v>0.82</v>
      </c>
      <c r="E14" s="27">
        <f ca="1">(Perfomance!$E$10-Perfomance!$F$10)/Perfomance!$D$10*$A14+Perfomance!$F$10</f>
        <v>15.077333333333332</v>
      </c>
      <c r="F14" s="25">
        <f ca="1">$E14/Perfomance!$E$10</f>
        <v>0.19350588235294119</v>
      </c>
      <c r="G14" s="27">
        <f t="shared" ca="1" si="0"/>
        <v>121.87373395287531</v>
      </c>
      <c r="H14" s="25">
        <f ca="1">$G14/Perfomance!$G$10</f>
        <v>0.59040000000000004</v>
      </c>
      <c r="I14" s="27">
        <f ca="1">$E14*Perfomance!$B$10</f>
        <v>165.85066666666665</v>
      </c>
      <c r="J14" s="25">
        <f t="shared" ca="1" si="1"/>
        <v>0.73484018124462558</v>
      </c>
      <c r="K14" s="28">
        <f ca="1">IF($E14&lt;=Perfomance!$B$5,Calculation!$D14,#N/A)</f>
        <v>0.82</v>
      </c>
      <c r="L14" s="28">
        <f ca="1">IF($E14&lt;=Perfomance!$B$5,Calculation!$F14,#N/A)</f>
        <v>0.19350588235294119</v>
      </c>
      <c r="M14" s="28">
        <f ca="1">IF($E14&lt;=Perfomance!$B$5,Calculation!$H14,#N/A)</f>
        <v>0.59040000000000004</v>
      </c>
      <c r="N14" s="28">
        <f ca="1">IF($E14&lt;=Perfomance!$B$5,Calculation!$J14,#N/A)</f>
        <v>0.73484018124462558</v>
      </c>
    </row>
    <row r="15" spans="1:14" x14ac:dyDescent="0.2">
      <c r="A15" s="24">
        <f ca="1">A14+Perfomance!$D$10/50</f>
        <v>8.913666666666667E-2</v>
      </c>
      <c r="B15" s="25">
        <f ca="1">ROUND(A15/Perfomance!$D$10,2)</f>
        <v>0.2</v>
      </c>
      <c r="C15" s="26">
        <f ca="1">-(Perfomance!$C$10/Perfomance!$D$10)*$A15+Perfomance!$C$10</f>
        <v>14153.333333333332</v>
      </c>
      <c r="D15" s="25">
        <f ca="1">$C15/Perfomance!$C$10</f>
        <v>0.8</v>
      </c>
      <c r="E15" s="27">
        <f ca="1">(Perfomance!$E$10-Perfomance!$F$10)/Perfomance!$D$10*$A15+Perfomance!$F$10</f>
        <v>16.61</v>
      </c>
      <c r="F15" s="25">
        <f ca="1">$E15/Perfomance!$E$10</f>
        <v>0.2131764705882353</v>
      </c>
      <c r="G15" s="27">
        <f t="shared" ca="1" si="0"/>
        <v>132.11244872940412</v>
      </c>
      <c r="H15" s="25">
        <f ca="1">$G15/Perfomance!$G$10</f>
        <v>0.6399999999999999</v>
      </c>
      <c r="I15" s="27">
        <f ca="1">$E15*Perfomance!$B$10</f>
        <v>182.70999999999998</v>
      </c>
      <c r="J15" s="25">
        <f t="shared" ca="1" si="1"/>
        <v>0.72307180082865818</v>
      </c>
      <c r="K15" s="28">
        <f ca="1">IF($E15&lt;=Perfomance!$B$5,Calculation!$D15,#N/A)</f>
        <v>0.8</v>
      </c>
      <c r="L15" s="28">
        <f ca="1">IF($E15&lt;=Perfomance!$B$5,Calculation!$F15,#N/A)</f>
        <v>0.2131764705882353</v>
      </c>
      <c r="M15" s="28">
        <f ca="1">IF($E15&lt;=Perfomance!$B$5,Calculation!$H15,#N/A)</f>
        <v>0.6399999999999999</v>
      </c>
      <c r="N15" s="28">
        <f ca="1">IF($E15&lt;=Perfomance!$B$5,Calculation!$J15,#N/A)</f>
        <v>0.72307180082865818</v>
      </c>
    </row>
    <row r="16" spans="1:14" x14ac:dyDescent="0.2">
      <c r="A16" s="24">
        <f ca="1">A15+Perfomance!$D$10/50</f>
        <v>9.8050333333333337E-2</v>
      </c>
      <c r="B16" s="25">
        <f ca="1">ROUND(A16/Perfomance!$D$10,2)</f>
        <v>0.22</v>
      </c>
      <c r="C16" s="26">
        <f ca="1">-(Perfomance!$C$10/Perfomance!$D$10)*$A16+Perfomance!$C$10</f>
        <v>13799.499999999998</v>
      </c>
      <c r="D16" s="25">
        <f ca="1">$C16/Perfomance!$C$10</f>
        <v>0.78</v>
      </c>
      <c r="E16" s="27">
        <f ca="1">(Perfomance!$E$10-Perfomance!$F$10)/Perfomance!$D$10*$A16+Perfomance!$F$10</f>
        <v>18.142666666666663</v>
      </c>
      <c r="F16" s="25">
        <f ca="1">$E16/Perfomance!$E$10</f>
        <v>0.23284705882352941</v>
      </c>
      <c r="G16" s="27">
        <f t="shared" ca="1" si="0"/>
        <v>141.69060126228592</v>
      </c>
      <c r="H16" s="25">
        <f ca="1">$G16/Perfomance!$G$10</f>
        <v>0.68640000000000001</v>
      </c>
      <c r="I16" s="27">
        <f ca="1">$E16*Perfomance!$B$10</f>
        <v>199.5693333333333</v>
      </c>
      <c r="J16" s="25">
        <f t="shared" ca="1" si="1"/>
        <v>0.7099818338603423</v>
      </c>
      <c r="K16" s="28">
        <f ca="1">IF($E16&lt;=Perfomance!$B$5,Calculation!$D16,#N/A)</f>
        <v>0.78</v>
      </c>
      <c r="L16" s="28">
        <f ca="1">IF($E16&lt;=Perfomance!$B$5,Calculation!$F16,#N/A)</f>
        <v>0.23284705882352941</v>
      </c>
      <c r="M16" s="28">
        <f ca="1">IF($E16&lt;=Perfomance!$B$5,Calculation!$H16,#N/A)</f>
        <v>0.68640000000000001</v>
      </c>
      <c r="N16" s="28">
        <f ca="1">IF($E16&lt;=Perfomance!$B$5,Calculation!$J16,#N/A)</f>
        <v>0.7099818338603423</v>
      </c>
    </row>
    <row r="17" spans="1:14" x14ac:dyDescent="0.2">
      <c r="A17" s="24">
        <f ca="1">A16+Perfomance!$D$10/50</f>
        <v>0.106964</v>
      </c>
      <c r="B17" s="25">
        <f ca="1">ROUND(A17/Perfomance!$D$10,2)</f>
        <v>0.24</v>
      </c>
      <c r="C17" s="26">
        <f ca="1">-(Perfomance!$C$10/Perfomance!$D$10)*$A17+Perfomance!$C$10</f>
        <v>13445.666666666664</v>
      </c>
      <c r="D17" s="25">
        <f ca="1">$C17/Perfomance!$C$10</f>
        <v>0.76</v>
      </c>
      <c r="E17" s="27">
        <f ca="1">(Perfomance!$E$10-Perfomance!$F$10)/Perfomance!$D$10*$A17+Perfomance!$F$10</f>
        <v>19.675333333333334</v>
      </c>
      <c r="F17" s="25">
        <f ca="1">$E17/Perfomance!$E$10</f>
        <v>0.25251764705882357</v>
      </c>
      <c r="G17" s="27">
        <f t="shared" ca="1" si="0"/>
        <v>150.60819155152069</v>
      </c>
      <c r="H17" s="25">
        <f ca="1">$G17/Perfomance!$G$10</f>
        <v>0.72959999999999992</v>
      </c>
      <c r="I17" s="27">
        <f ca="1">$E17*Perfomance!$B$10</f>
        <v>216.42866666666669</v>
      </c>
      <c r="J17" s="25">
        <f t="shared" ca="1" si="1"/>
        <v>0.69587912669387919</v>
      </c>
      <c r="K17" s="28">
        <f ca="1">IF($E17&lt;=Perfomance!$B$5,Calculation!$D17,#N/A)</f>
        <v>0.76</v>
      </c>
      <c r="L17" s="28">
        <f ca="1">IF($E17&lt;=Perfomance!$B$5,Calculation!$F17,#N/A)</f>
        <v>0.25251764705882357</v>
      </c>
      <c r="M17" s="28">
        <f ca="1">IF($E17&lt;=Perfomance!$B$5,Calculation!$H17,#N/A)</f>
        <v>0.72959999999999992</v>
      </c>
      <c r="N17" s="28">
        <f ca="1">IF($E17&lt;=Perfomance!$B$5,Calculation!$J17,#N/A)</f>
        <v>0.69587912669387919</v>
      </c>
    </row>
    <row r="18" spans="1:14" x14ac:dyDescent="0.2">
      <c r="A18" s="24">
        <f ca="1">A17+Perfomance!$D$10/50</f>
        <v>0.11587766666666667</v>
      </c>
      <c r="B18" s="25">
        <f ca="1">ROUND(A18/Perfomance!$D$10,2)</f>
        <v>0.26</v>
      </c>
      <c r="C18" s="26">
        <f ca="1">-(Perfomance!$C$10/Perfomance!$D$10)*$A18+Perfomance!$C$10</f>
        <v>13091.833333333332</v>
      </c>
      <c r="D18" s="25">
        <f ca="1">$C18/Perfomance!$C$10</f>
        <v>0.74</v>
      </c>
      <c r="E18" s="27">
        <f ca="1">(Perfomance!$E$10-Perfomance!$F$10)/Perfomance!$D$10*$A18+Perfomance!$F$10</f>
        <v>21.207999999999998</v>
      </c>
      <c r="F18" s="25">
        <f ca="1">$E18/Perfomance!$E$10</f>
        <v>0.27218823529411768</v>
      </c>
      <c r="G18" s="27">
        <f t="shared" ca="1" si="0"/>
        <v>158.86521959710848</v>
      </c>
      <c r="H18" s="25">
        <f ca="1">$G18/Perfomance!$G$10</f>
        <v>0.76960000000000006</v>
      </c>
      <c r="I18" s="27">
        <f ca="1">$E18*Perfomance!$B$10</f>
        <v>233.28799999999998</v>
      </c>
      <c r="J18" s="25">
        <f t="shared" ca="1" si="1"/>
        <v>0.68098324644691755</v>
      </c>
      <c r="K18" s="28">
        <f ca="1">IF($E18&lt;=Perfomance!$B$5,Calculation!$D18,#N/A)</f>
        <v>0.74</v>
      </c>
      <c r="L18" s="28">
        <f ca="1">IF($E18&lt;=Perfomance!$B$5,Calculation!$F18,#N/A)</f>
        <v>0.27218823529411768</v>
      </c>
      <c r="M18" s="28">
        <f ca="1">IF($E18&lt;=Perfomance!$B$5,Calculation!$H18,#N/A)</f>
        <v>0.76960000000000006</v>
      </c>
      <c r="N18" s="28">
        <f ca="1">IF($E18&lt;=Perfomance!$B$5,Calculation!$J18,#N/A)</f>
        <v>0.68098324644691755</v>
      </c>
    </row>
    <row r="19" spans="1:14" x14ac:dyDescent="0.2">
      <c r="A19" s="24">
        <f ca="1">A18+Perfomance!$D$10/50</f>
        <v>0.12479133333333334</v>
      </c>
      <c r="B19" s="25">
        <f ca="1">ROUND(A19/Perfomance!$D$10,2)</f>
        <v>0.28000000000000003</v>
      </c>
      <c r="C19" s="26">
        <f ca="1">-(Perfomance!$C$10/Perfomance!$D$10)*$A19+Perfomance!$C$10</f>
        <v>12737.999999999998</v>
      </c>
      <c r="D19" s="25">
        <f ca="1">$C19/Perfomance!$C$10</f>
        <v>0.72</v>
      </c>
      <c r="E19" s="27">
        <f ca="1">(Perfomance!$E$10-Perfomance!$F$10)/Perfomance!$D$10*$A19+Perfomance!$F$10</f>
        <v>22.740666666666662</v>
      </c>
      <c r="F19" s="25">
        <f ca="1">$E19/Perfomance!$E$10</f>
        <v>0.29185882352941173</v>
      </c>
      <c r="G19" s="27">
        <f t="shared" ca="1" si="0"/>
        <v>166.46168539904923</v>
      </c>
      <c r="H19" s="25">
        <f ca="1">$G19/Perfomance!$G$10</f>
        <v>0.80640000000000012</v>
      </c>
      <c r="I19" s="27">
        <f ca="1">$E19*Perfomance!$B$10</f>
        <v>250.14733333333328</v>
      </c>
      <c r="J19" s="25">
        <f t="shared" ca="1" si="1"/>
        <v>0.66545456703802264</v>
      </c>
      <c r="K19" s="28">
        <f ca="1">IF($E19&lt;=Perfomance!$B$5,Calculation!$D19,#N/A)</f>
        <v>0.72</v>
      </c>
      <c r="L19" s="28">
        <f ca="1">IF($E19&lt;=Perfomance!$B$5,Calculation!$F19,#N/A)</f>
        <v>0.29185882352941173</v>
      </c>
      <c r="M19" s="28">
        <f ca="1">IF($E19&lt;=Perfomance!$B$5,Calculation!$H19,#N/A)</f>
        <v>0.80640000000000012</v>
      </c>
      <c r="N19" s="28">
        <f ca="1">IF($E19&lt;=Perfomance!$B$5,Calculation!$J19,#N/A)</f>
        <v>0.66545456703802264</v>
      </c>
    </row>
    <row r="20" spans="1:14" x14ac:dyDescent="0.2">
      <c r="A20" s="24">
        <f ca="1">A19+Perfomance!$D$10/50</f>
        <v>0.13370500000000002</v>
      </c>
      <c r="B20" s="25">
        <f ca="1">ROUND(A20/Perfomance!$D$10,2)</f>
        <v>0.3</v>
      </c>
      <c r="C20" s="26">
        <f ca="1">-(Perfomance!$C$10/Perfomance!$D$10)*$A20+Perfomance!$C$10</f>
        <v>12384.166666666664</v>
      </c>
      <c r="D20" s="25">
        <f ca="1">$C20/Perfomance!$C$10</f>
        <v>0.7</v>
      </c>
      <c r="E20" s="27">
        <f ca="1">(Perfomance!$E$10-Perfomance!$F$10)/Perfomance!$D$10*$A20+Perfomance!$F$10</f>
        <v>24.273333333333333</v>
      </c>
      <c r="F20" s="25">
        <f ca="1">$E20/Perfomance!$E$10</f>
        <v>0.31152941176470594</v>
      </c>
      <c r="G20" s="27">
        <f t="shared" ca="1" si="0"/>
        <v>173.39758895734295</v>
      </c>
      <c r="H20" s="25">
        <f ca="1">$G20/Perfomance!$G$10</f>
        <v>0.84000000000000008</v>
      </c>
      <c r="I20" s="27">
        <f ca="1">$E20*Perfomance!$B$10</f>
        <v>267.00666666666666</v>
      </c>
      <c r="J20" s="25">
        <f t="shared" ca="1" si="1"/>
        <v>0.64941295706977209</v>
      </c>
      <c r="K20" s="28">
        <f ca="1">IF($E20&lt;=Perfomance!$B$5,Calculation!$D20,#N/A)</f>
        <v>0.7</v>
      </c>
      <c r="L20" s="28">
        <f ca="1">IF($E20&lt;=Perfomance!$B$5,Calculation!$F20,#N/A)</f>
        <v>0.31152941176470594</v>
      </c>
      <c r="M20" s="28">
        <f ca="1">IF($E20&lt;=Perfomance!$B$5,Calculation!$H20,#N/A)</f>
        <v>0.84000000000000008</v>
      </c>
      <c r="N20" s="28">
        <f ca="1">IF($E20&lt;=Perfomance!$B$5,Calculation!$J20,#N/A)</f>
        <v>0.64941295706977209</v>
      </c>
    </row>
    <row r="21" spans="1:14" x14ac:dyDescent="0.2">
      <c r="A21" s="24">
        <f ca="1">A20+Perfomance!$D$10/50</f>
        <v>0.14261866666666667</v>
      </c>
      <c r="B21" s="25">
        <f ca="1">ROUND(A21/Perfomance!$D$10,2)</f>
        <v>0.32</v>
      </c>
      <c r="C21" s="26">
        <f ca="1">-(Perfomance!$C$10/Perfomance!$D$10)*$A21+Perfomance!$C$10</f>
        <v>12030.333333333332</v>
      </c>
      <c r="D21" s="25">
        <f ca="1">$C21/Perfomance!$C$10</f>
        <v>0.68</v>
      </c>
      <c r="E21" s="27">
        <f ca="1">(Perfomance!$E$10-Perfomance!$F$10)/Perfomance!$D$10*$A21+Perfomance!$F$10</f>
        <v>25.805999999999997</v>
      </c>
      <c r="F21" s="25">
        <f ca="1">$E21/Perfomance!$E$10</f>
        <v>0.33119999999999999</v>
      </c>
      <c r="G21" s="27">
        <f t="shared" ca="1" si="0"/>
        <v>179.67293027198963</v>
      </c>
      <c r="H21" s="25">
        <f ca="1">$G21/Perfomance!$G$10</f>
        <v>0.87040000000000006</v>
      </c>
      <c r="I21" s="27">
        <f ca="1">$E21*Perfomance!$B$10</f>
        <v>283.86599999999999</v>
      </c>
      <c r="J21" s="25">
        <f t="shared" ca="1" si="1"/>
        <v>0.63294980826160807</v>
      </c>
      <c r="K21" s="28">
        <f ca="1">IF($E21&lt;=Perfomance!$B$5,Calculation!$D21,#N/A)</f>
        <v>0.68</v>
      </c>
      <c r="L21" s="28">
        <f ca="1">IF($E21&lt;=Perfomance!$B$5,Calculation!$F21,#N/A)</f>
        <v>0.33119999999999999</v>
      </c>
      <c r="M21" s="28">
        <f ca="1">IF($E21&lt;=Perfomance!$B$5,Calculation!$H21,#N/A)</f>
        <v>0.87040000000000006</v>
      </c>
      <c r="N21" s="28">
        <f ca="1">IF($E21&lt;=Perfomance!$B$5,Calculation!$J21,#N/A)</f>
        <v>0.63294980826160807</v>
      </c>
    </row>
    <row r="22" spans="1:14" x14ac:dyDescent="0.2">
      <c r="A22" s="24">
        <f ca="1">A21+Perfomance!$D$10/50</f>
        <v>0.15153233333333332</v>
      </c>
      <c r="B22" s="25">
        <f ca="1">ROUND(A22/Perfomance!$D$10,2)</f>
        <v>0.34</v>
      </c>
      <c r="C22" s="26">
        <f ca="1">-(Perfomance!$C$10/Perfomance!$D$10)*$A22+Perfomance!$C$10</f>
        <v>11676.5</v>
      </c>
      <c r="D22" s="25">
        <f ca="1">$C22/Perfomance!$C$10</f>
        <v>0.66000000000000014</v>
      </c>
      <c r="E22" s="27">
        <f ca="1">(Perfomance!$E$10-Perfomance!$F$10)/Perfomance!$D$10*$A22+Perfomance!$F$10</f>
        <v>27.338666666666661</v>
      </c>
      <c r="F22" s="25">
        <f ca="1">$E22/Perfomance!$E$10</f>
        <v>0.3508705882352941</v>
      </c>
      <c r="G22" s="27">
        <f t="shared" ca="1" si="0"/>
        <v>185.28770934298933</v>
      </c>
      <c r="H22" s="25">
        <f ca="1">$G22/Perfomance!$G$10</f>
        <v>0.89760000000000018</v>
      </c>
      <c r="I22" s="27">
        <f ca="1">$E22*Perfomance!$B$10</f>
        <v>300.72533333333325</v>
      </c>
      <c r="J22" s="25">
        <f t="shared" ca="1" si="1"/>
        <v>0.61613601783794747</v>
      </c>
      <c r="K22" s="28">
        <f ca="1">IF($E22&lt;=Perfomance!$B$5,Calculation!$D22,#N/A)</f>
        <v>0.66000000000000014</v>
      </c>
      <c r="L22" s="28">
        <f ca="1">IF($E22&lt;=Perfomance!$B$5,Calculation!$F22,#N/A)</f>
        <v>0.3508705882352941</v>
      </c>
      <c r="M22" s="28">
        <f ca="1">IF($E22&lt;=Perfomance!$B$5,Calculation!$H22,#N/A)</f>
        <v>0.89760000000000018</v>
      </c>
      <c r="N22" s="28">
        <f ca="1">IF($E22&lt;=Perfomance!$B$5,Calculation!$J22,#N/A)</f>
        <v>0.61613601783794747</v>
      </c>
    </row>
    <row r="23" spans="1:14" x14ac:dyDescent="0.2">
      <c r="A23" s="24">
        <f ca="1">A22+Perfomance!$D$10/50</f>
        <v>0.16044599999999998</v>
      </c>
      <c r="B23" s="25">
        <f ca="1">ROUND(A23/Perfomance!$D$10,2)</f>
        <v>0.36</v>
      </c>
      <c r="C23" s="26">
        <f ca="1">-(Perfomance!$C$10/Perfomance!$D$10)*$A23+Perfomance!$C$10</f>
        <v>11322.666666666666</v>
      </c>
      <c r="D23" s="25">
        <f ca="1">$C23/Perfomance!$C$10</f>
        <v>0.64</v>
      </c>
      <c r="E23" s="27">
        <f ca="1">(Perfomance!$E$10-Perfomance!$F$10)/Perfomance!$D$10*$A23+Perfomance!$F$10</f>
        <v>28.871333333333325</v>
      </c>
      <c r="F23" s="25">
        <f ca="1">$E23/Perfomance!$E$10</f>
        <v>0.37054117647058815</v>
      </c>
      <c r="G23" s="27">
        <f t="shared" ca="1" si="0"/>
        <v>190.24192617034194</v>
      </c>
      <c r="H23" s="25">
        <f ca="1">$G23/Perfomance!$G$10</f>
        <v>0.92159999999999997</v>
      </c>
      <c r="I23" s="27">
        <f ca="1">$E23*Perfomance!$B$10</f>
        <v>317.58466666666658</v>
      </c>
      <c r="J23" s="25">
        <f t="shared" ca="1" si="1"/>
        <v>0.59902742839287582</v>
      </c>
      <c r="K23" s="28">
        <f ca="1">IF($E23&lt;=Perfomance!$B$5,Calculation!$D23,#N/A)</f>
        <v>0.64</v>
      </c>
      <c r="L23" s="28">
        <f ca="1">IF($E23&lt;=Perfomance!$B$5,Calculation!$F23,#N/A)</f>
        <v>0.37054117647058815</v>
      </c>
      <c r="M23" s="28">
        <f ca="1">IF($E23&lt;=Perfomance!$B$5,Calculation!$H23,#N/A)</f>
        <v>0.92159999999999997</v>
      </c>
      <c r="N23" s="28">
        <f ca="1">IF($E23&lt;=Perfomance!$B$5,Calculation!$J23,#N/A)</f>
        <v>0.59902742839287582</v>
      </c>
    </row>
    <row r="24" spans="1:14" x14ac:dyDescent="0.2">
      <c r="A24" s="24">
        <f ca="1">A23+Perfomance!$D$10/50</f>
        <v>0.16935966666666663</v>
      </c>
      <c r="B24" s="25">
        <f ca="1">ROUND(A24/Perfomance!$D$10,2)</f>
        <v>0.38</v>
      </c>
      <c r="C24" s="26">
        <f ca="1">-(Perfomance!$C$10/Perfomance!$D$10)*$A24+Perfomance!$C$10</f>
        <v>10968.833333333332</v>
      </c>
      <c r="D24" s="25">
        <f ca="1">$C24/Perfomance!$C$10</f>
        <v>0.62</v>
      </c>
      <c r="E24" s="27">
        <f ca="1">(Perfomance!$E$10-Perfomance!$F$10)/Perfomance!$D$10*$A24+Perfomance!$F$10</f>
        <v>30.403999999999989</v>
      </c>
      <c r="F24" s="25">
        <f ca="1">$E24/Perfomance!$E$10</f>
        <v>0.39021176470588226</v>
      </c>
      <c r="G24" s="27">
        <f t="shared" ca="1" si="0"/>
        <v>194.53558075404757</v>
      </c>
      <c r="H24" s="25">
        <f ca="1">$G24/Perfomance!$G$10</f>
        <v>0.9423999999999999</v>
      </c>
      <c r="I24" s="27">
        <f ca="1">$E24*Perfomance!$B$10</f>
        <v>334.4439999999999</v>
      </c>
      <c r="J24" s="25">
        <f t="shared" ca="1" si="1"/>
        <v>0.58166862241226525</v>
      </c>
      <c r="K24" s="28">
        <f ca="1">IF($E24&lt;=Perfomance!$B$5,Calculation!$D24,#N/A)</f>
        <v>0.62</v>
      </c>
      <c r="L24" s="28">
        <f ca="1">IF($E24&lt;=Perfomance!$B$5,Calculation!$F24,#N/A)</f>
        <v>0.39021176470588226</v>
      </c>
      <c r="M24" s="28">
        <f ca="1">IF($E24&lt;=Perfomance!$B$5,Calculation!$H24,#N/A)</f>
        <v>0.9423999999999999</v>
      </c>
      <c r="N24" s="28">
        <f ca="1">IF($E24&lt;=Perfomance!$B$5,Calculation!$J24,#N/A)</f>
        <v>0.58166862241226525</v>
      </c>
    </row>
    <row r="25" spans="1:14" x14ac:dyDescent="0.2">
      <c r="A25" s="24">
        <f ca="1">A24+Perfomance!$D$10/50</f>
        <v>0.17827333333333328</v>
      </c>
      <c r="B25" s="25">
        <f ca="1">ROUND(A25/Perfomance!$D$10,2)</f>
        <v>0.4</v>
      </c>
      <c r="C25" s="26">
        <f ca="1">-(Perfomance!$C$10/Perfomance!$D$10)*$A25+Perfomance!$C$10</f>
        <v>10615</v>
      </c>
      <c r="D25" s="25">
        <f ca="1">$C25/Perfomance!$C$10</f>
        <v>0.60000000000000009</v>
      </c>
      <c r="E25" s="27">
        <f ca="1">(Perfomance!$E$10-Perfomance!$F$10)/Perfomance!$D$10*$A25+Perfomance!$F$10</f>
        <v>31.936666666666653</v>
      </c>
      <c r="F25" s="25">
        <f ca="1">$E25/Perfomance!$E$10</f>
        <v>0.40988235294117636</v>
      </c>
      <c r="G25" s="27">
        <f t="shared" ca="1" si="0"/>
        <v>198.16867309410617</v>
      </c>
      <c r="H25" s="25">
        <f ca="1">$G25/Perfomance!$G$10</f>
        <v>0.95999999999999985</v>
      </c>
      <c r="I25" s="27">
        <f ca="1">$E25*Perfomance!$B$10</f>
        <v>351.30333333333317</v>
      </c>
      <c r="J25" s="25">
        <f t="shared" ca="1" si="1"/>
        <v>0.56409562418263304</v>
      </c>
      <c r="K25" s="28">
        <f ca="1">IF($E25&lt;=Perfomance!$B$5,Calculation!$D25,#N/A)</f>
        <v>0.60000000000000009</v>
      </c>
      <c r="L25" s="28">
        <f ca="1">IF($E25&lt;=Perfomance!$B$5,Calculation!$F25,#N/A)</f>
        <v>0.40988235294117636</v>
      </c>
      <c r="M25" s="28">
        <f ca="1">IF($E25&lt;=Perfomance!$B$5,Calculation!$H25,#N/A)</f>
        <v>0.95999999999999985</v>
      </c>
      <c r="N25" s="28">
        <f ca="1">IF($E25&lt;=Perfomance!$B$5,Calculation!$J25,#N/A)</f>
        <v>0.56409562418263304</v>
      </c>
    </row>
    <row r="26" spans="1:14" x14ac:dyDescent="0.2">
      <c r="A26" s="24">
        <f ca="1">A25+Perfomance!$D$10/50</f>
        <v>0.18718699999999994</v>
      </c>
      <c r="B26" s="25">
        <f ca="1">ROUND(A26/Perfomance!$D$10,2)</f>
        <v>0.42</v>
      </c>
      <c r="C26" s="26">
        <f ca="1">-(Perfomance!$C$10/Perfomance!$D$10)*$A26+Perfomance!$C$10</f>
        <v>10261.166666666668</v>
      </c>
      <c r="D26" s="25">
        <f ca="1">$C26/Perfomance!$C$10</f>
        <v>0.58000000000000018</v>
      </c>
      <c r="E26" s="27">
        <f ca="1">(Perfomance!$E$10-Perfomance!$F$10)/Perfomance!$D$10*$A26+Perfomance!$F$10</f>
        <v>33.469333333333317</v>
      </c>
      <c r="F26" s="25">
        <f ca="1">$E26/Perfomance!$E$10</f>
        <v>0.42955294117647042</v>
      </c>
      <c r="G26" s="27">
        <f t="shared" ca="1" si="0"/>
        <v>201.14120319051779</v>
      </c>
      <c r="H26" s="25">
        <f ca="1">$G26/Perfomance!$G$10</f>
        <v>0.97439999999999993</v>
      </c>
      <c r="I26" s="27">
        <f ca="1">$E26*Perfomance!$B$10</f>
        <v>368.1626666666665</v>
      </c>
      <c r="J26" s="25">
        <f t="shared" ca="1" si="1"/>
        <v>0.54633785932627033</v>
      </c>
      <c r="K26" s="28">
        <f ca="1">IF($E26&lt;=Perfomance!$B$5,Calculation!$D26,#N/A)</f>
        <v>0.58000000000000018</v>
      </c>
      <c r="L26" s="28">
        <f ca="1">IF($E26&lt;=Perfomance!$B$5,Calculation!$F26,#N/A)</f>
        <v>0.42955294117647042</v>
      </c>
      <c r="M26" s="28">
        <f ca="1">IF($E26&lt;=Perfomance!$B$5,Calculation!$H26,#N/A)</f>
        <v>0.97439999999999993</v>
      </c>
      <c r="N26" s="28">
        <f ca="1">IF($E26&lt;=Perfomance!$B$5,Calculation!$J26,#N/A)</f>
        <v>0.54633785932627033</v>
      </c>
    </row>
    <row r="27" spans="1:14" x14ac:dyDescent="0.2">
      <c r="A27" s="24">
        <f ca="1">A26+Perfomance!$D$10/50</f>
        <v>0.19610066666666659</v>
      </c>
      <c r="B27" s="25">
        <f ca="1">ROUND(A27/Perfomance!$D$10,2)</f>
        <v>0.44</v>
      </c>
      <c r="C27" s="26">
        <f ca="1">-(Perfomance!$C$10/Perfomance!$D$10)*$A27+Perfomance!$C$10</f>
        <v>9907.3333333333358</v>
      </c>
      <c r="D27" s="25">
        <f ca="1">$C27/Perfomance!$C$10</f>
        <v>0.56000000000000016</v>
      </c>
      <c r="E27" s="27">
        <f ca="1">(Perfomance!$E$10-Perfomance!$F$10)/Perfomance!$D$10*$A27+Perfomance!$F$10</f>
        <v>35.001999999999981</v>
      </c>
      <c r="F27" s="25">
        <f ca="1">$E27/Perfomance!$E$10</f>
        <v>0.44922352941176452</v>
      </c>
      <c r="G27" s="27">
        <f t="shared" ca="1" si="0"/>
        <v>203.4531710432824</v>
      </c>
      <c r="H27" s="25">
        <f ca="1">$G27/Perfomance!$G$10</f>
        <v>0.98560000000000014</v>
      </c>
      <c r="I27" s="27">
        <f ca="1">$E27*Perfomance!$B$10</f>
        <v>385.02199999999982</v>
      </c>
      <c r="J27" s="25">
        <f t="shared" ca="1" si="1"/>
        <v>0.52841959951193052</v>
      </c>
      <c r="K27" s="28">
        <f ca="1">IF($E27&lt;=Perfomance!$B$5,Calculation!$D27,#N/A)</f>
        <v>0.56000000000000016</v>
      </c>
      <c r="L27" s="28">
        <f ca="1">IF($E27&lt;=Perfomance!$B$5,Calculation!$F27,#N/A)</f>
        <v>0.44922352941176452</v>
      </c>
      <c r="M27" s="28">
        <f ca="1">IF($E27&lt;=Perfomance!$B$5,Calculation!$H27,#N/A)</f>
        <v>0.98560000000000014</v>
      </c>
      <c r="N27" s="28">
        <f ca="1">IF($E27&lt;=Perfomance!$B$5,Calculation!$J27,#N/A)</f>
        <v>0.52841959951193052</v>
      </c>
    </row>
    <row r="28" spans="1:14" x14ac:dyDescent="0.2">
      <c r="A28" s="24">
        <f ca="1">A27+Perfomance!$D$10/50</f>
        <v>0.20501433333333324</v>
      </c>
      <c r="B28" s="25">
        <f ca="1">ROUND(A28/Perfomance!$D$10,2)</f>
        <v>0.46</v>
      </c>
      <c r="C28" s="26">
        <f ca="1">-(Perfomance!$C$10/Perfomance!$D$10)*$A28+Perfomance!$C$10</f>
        <v>9553.5000000000036</v>
      </c>
      <c r="D28" s="25">
        <f ca="1">$C28/Perfomance!$C$10</f>
        <v>0.54000000000000026</v>
      </c>
      <c r="E28" s="27">
        <f ca="1">(Perfomance!$E$10-Perfomance!$F$10)/Perfomance!$D$10*$A28+Perfomance!$F$10</f>
        <v>36.534666666666645</v>
      </c>
      <c r="F28" s="25">
        <f ca="1">$E28/Perfomance!$E$10</f>
        <v>0.46889411764705863</v>
      </c>
      <c r="G28" s="27">
        <f t="shared" ca="1" si="0"/>
        <v>205.10457665239994</v>
      </c>
      <c r="H28" s="25">
        <f ca="1">$G28/Perfomance!$G$10</f>
        <v>0.99360000000000015</v>
      </c>
      <c r="I28" s="27">
        <f ca="1">$E28*Perfomance!$B$10</f>
        <v>401.88133333333309</v>
      </c>
      <c r="J28" s="25">
        <f t="shared" ca="1" si="1"/>
        <v>0.51036104352296385</v>
      </c>
      <c r="K28" s="28">
        <f ca="1">IF($E28&lt;=Perfomance!$B$5,Calculation!$D28,#N/A)</f>
        <v>0.54000000000000026</v>
      </c>
      <c r="L28" s="28">
        <f ca="1">IF($E28&lt;=Perfomance!$B$5,Calculation!$F28,#N/A)</f>
        <v>0.46889411764705863</v>
      </c>
      <c r="M28" s="28">
        <f ca="1">IF($E28&lt;=Perfomance!$B$5,Calculation!$H28,#N/A)</f>
        <v>0.99360000000000015</v>
      </c>
      <c r="N28" s="28">
        <f ca="1">IF($E28&lt;=Perfomance!$B$5,Calculation!$J28,#N/A)</f>
        <v>0.51036104352296385</v>
      </c>
    </row>
    <row r="29" spans="1:14" x14ac:dyDescent="0.2">
      <c r="A29" s="24">
        <f ca="1">A28+Perfomance!$D$10/50</f>
        <v>0.2139279999999999</v>
      </c>
      <c r="B29" s="25">
        <f ca="1">ROUND(A29/Perfomance!$D$10,2)</f>
        <v>0.48</v>
      </c>
      <c r="C29" s="26">
        <f ca="1">-(Perfomance!$C$10/Perfomance!$D$10)*$A29+Perfomance!$C$10</f>
        <v>9199.6666666666697</v>
      </c>
      <c r="D29" s="25">
        <f ca="1">$C29/Perfomance!$C$10</f>
        <v>0.52000000000000024</v>
      </c>
      <c r="E29" s="27">
        <f ca="1">(Perfomance!$E$10-Perfomance!$F$10)/Perfomance!$D$10*$A29+Perfomance!$F$10</f>
        <v>38.067333333333309</v>
      </c>
      <c r="F29" s="25">
        <f ca="1">$E29/Perfomance!$E$10</f>
        <v>0.48856470588235268</v>
      </c>
      <c r="G29" s="27">
        <f t="shared" ca="1" si="0"/>
        <v>206.09542001787045</v>
      </c>
      <c r="H29" s="25">
        <f ca="1">$G29/Perfomance!$G$10</f>
        <v>0.99840000000000007</v>
      </c>
      <c r="I29" s="27">
        <f ca="1">$E29*Perfomance!$B$10</f>
        <v>418.74066666666641</v>
      </c>
      <c r="J29" s="25">
        <f t="shared" ca="1" si="1"/>
        <v>0.4921791371697134</v>
      </c>
      <c r="K29" s="28">
        <f ca="1">IF($E29&lt;=Perfomance!$B$5,Calculation!$D29,#N/A)</f>
        <v>0.52000000000000024</v>
      </c>
      <c r="L29" s="28">
        <f ca="1">IF($E29&lt;=Perfomance!$B$5,Calculation!$F29,#N/A)</f>
        <v>0.48856470588235268</v>
      </c>
      <c r="M29" s="28">
        <f ca="1">IF($E29&lt;=Perfomance!$B$5,Calculation!$H29,#N/A)</f>
        <v>0.99840000000000007</v>
      </c>
      <c r="N29" s="28">
        <f ca="1">IF($E29&lt;=Perfomance!$B$5,Calculation!$J29,#N/A)</f>
        <v>0.4921791371697134</v>
      </c>
    </row>
    <row r="30" spans="1:14" x14ac:dyDescent="0.2">
      <c r="A30" s="24">
        <f ca="1">A29+Perfomance!$D$10/50</f>
        <v>0.22284166666666655</v>
      </c>
      <c r="B30" s="25">
        <f ca="1">ROUND(A30/Perfomance!$D$10,2)</f>
        <v>0.5</v>
      </c>
      <c r="C30" s="26">
        <f ca="1">-(Perfomance!$C$10/Perfomance!$D$10)*$A30+Perfomance!$C$10</f>
        <v>8845.8333333333376</v>
      </c>
      <c r="D30" s="25">
        <f ca="1">$C30/Perfomance!$C$10</f>
        <v>0.50000000000000033</v>
      </c>
      <c r="E30" s="27">
        <f ca="1">(Perfomance!$E$10-Perfomance!$F$10)/Perfomance!$D$10*$A30+Perfomance!$F$10</f>
        <v>39.599999999999973</v>
      </c>
      <c r="F30" s="25">
        <f ca="1">$E30/Perfomance!$E$10</f>
        <v>0.50823529411764679</v>
      </c>
      <c r="G30" s="27">
        <f t="shared" ca="1" si="0"/>
        <v>206.42570113969398</v>
      </c>
      <c r="H30" s="25">
        <f ca="1">$G30/Perfomance!$G$10</f>
        <v>1.0000000000000002</v>
      </c>
      <c r="I30" s="27">
        <f ca="1">$E30*Perfomance!$B$10</f>
        <v>435.59999999999968</v>
      </c>
      <c r="J30" s="25">
        <f t="shared" ca="1" si="1"/>
        <v>0.47388820280003247</v>
      </c>
      <c r="K30" s="28">
        <f ca="1">IF($E30&lt;=Perfomance!$B$5,Calculation!$D30,#N/A)</f>
        <v>0.50000000000000033</v>
      </c>
      <c r="L30" s="28">
        <f ca="1">IF($E30&lt;=Perfomance!$B$5,Calculation!$F30,#N/A)</f>
        <v>0.50823529411764679</v>
      </c>
      <c r="M30" s="28">
        <f ca="1">IF($E30&lt;=Perfomance!$B$5,Calculation!$H30,#N/A)</f>
        <v>1.0000000000000002</v>
      </c>
      <c r="N30" s="28">
        <f ca="1">IF($E30&lt;=Perfomance!$B$5,Calculation!$J30,#N/A)</f>
        <v>0.47388820280003247</v>
      </c>
    </row>
    <row r="31" spans="1:14" x14ac:dyDescent="0.2">
      <c r="A31" s="24">
        <f ca="1">A30+Perfomance!$D$10/50</f>
        <v>0.2317553333333332</v>
      </c>
      <c r="B31" s="25">
        <f ca="1">ROUND(A31/Perfomance!$D$10,2)</f>
        <v>0.52</v>
      </c>
      <c r="C31" s="26">
        <f ca="1">-(Perfomance!$C$10/Perfomance!$D$10)*$A31+Perfomance!$C$10</f>
        <v>8492.0000000000036</v>
      </c>
      <c r="D31" s="25">
        <f ca="1">$C31/Perfomance!$C$10</f>
        <v>0.48000000000000026</v>
      </c>
      <c r="E31" s="27">
        <f ca="1">(Perfomance!$E$10-Perfomance!$F$10)/Perfomance!$D$10*$A31+Perfomance!$F$10</f>
        <v>41.132666666666637</v>
      </c>
      <c r="F31" s="25">
        <f ca="1">$E31/Perfomance!$E$10</f>
        <v>0.52790588235294089</v>
      </c>
      <c r="G31" s="27">
        <f t="shared" ca="1" si="0"/>
        <v>206.09542001787045</v>
      </c>
      <c r="H31" s="25">
        <f ca="1">$G31/Perfomance!$G$10</f>
        <v>0.99840000000000007</v>
      </c>
      <c r="I31" s="27">
        <f ca="1">$E31*Perfomance!$B$10</f>
        <v>452.45933333333301</v>
      </c>
      <c r="J31" s="25">
        <f t="shared" ca="1" si="1"/>
        <v>0.45550042807059771</v>
      </c>
      <c r="K31" s="28" t="e">
        <f ca="1">IF($E31&lt;=Perfomance!$B$5,Calculation!$D31,#N/A)</f>
        <v>#N/A</v>
      </c>
      <c r="L31" s="28" t="e">
        <f ca="1">IF($E31&lt;=Perfomance!$B$5,Calculation!$F31,#N/A)</f>
        <v>#N/A</v>
      </c>
      <c r="M31" s="28" t="e">
        <f ca="1">IF($E31&lt;=Perfomance!$B$5,Calculation!$H31,#N/A)</f>
        <v>#N/A</v>
      </c>
      <c r="N31" s="28" t="e">
        <f ca="1">IF($E31&lt;=Perfomance!$B$5,Calculation!$J31,#N/A)</f>
        <v>#N/A</v>
      </c>
    </row>
    <row r="32" spans="1:14" x14ac:dyDescent="0.2">
      <c r="A32" s="24">
        <f ca="1">A31+Perfomance!$D$10/50</f>
        <v>0.24066899999999986</v>
      </c>
      <c r="B32" s="25">
        <f ca="1">ROUND(A32/Perfomance!$D$10,2)</f>
        <v>0.54</v>
      </c>
      <c r="C32" s="26">
        <f ca="1">-(Perfomance!$C$10/Perfomance!$D$10)*$A32+Perfomance!$C$10</f>
        <v>8138.1666666666715</v>
      </c>
      <c r="D32" s="25">
        <f ca="1">$C32/Perfomance!$C$10</f>
        <v>0.46000000000000035</v>
      </c>
      <c r="E32" s="27">
        <f ca="1">(Perfomance!$E$10-Perfomance!$F$10)/Perfomance!$D$10*$A32+Perfomance!$F$10</f>
        <v>42.665333333333301</v>
      </c>
      <c r="F32" s="25">
        <f ca="1">$E32/Perfomance!$E$10</f>
        <v>0.547576470588235</v>
      </c>
      <c r="G32" s="27">
        <f t="shared" ca="1" si="0"/>
        <v>205.10457665239994</v>
      </c>
      <c r="H32" s="25">
        <f ca="1">$G32/Perfomance!$G$10</f>
        <v>0.99360000000000015</v>
      </c>
      <c r="I32" s="27">
        <f ca="1">$E32*Perfomance!$B$10</f>
        <v>469.31866666666633</v>
      </c>
      <c r="J32" s="25">
        <f t="shared" ca="1" si="1"/>
        <v>0.43702624936944073</v>
      </c>
      <c r="K32" s="28" t="e">
        <f ca="1">IF($E32&lt;=Perfomance!$B$5,Calculation!$D32,#N/A)</f>
        <v>#N/A</v>
      </c>
      <c r="L32" s="28" t="e">
        <f ca="1">IF($E32&lt;=Perfomance!$B$5,Calculation!$F32,#N/A)</f>
        <v>#N/A</v>
      </c>
      <c r="M32" s="28" t="e">
        <f ca="1">IF($E32&lt;=Perfomance!$B$5,Calculation!$H32,#N/A)</f>
        <v>#N/A</v>
      </c>
      <c r="N32" s="28" t="e">
        <f ca="1">IF($E32&lt;=Perfomance!$B$5,Calculation!$J32,#N/A)</f>
        <v>#N/A</v>
      </c>
    </row>
    <row r="33" spans="1:14" x14ac:dyDescent="0.2">
      <c r="A33" s="24">
        <f ca="1">A32+Perfomance!$D$10/50</f>
        <v>0.24958266666666651</v>
      </c>
      <c r="B33" s="25">
        <f ca="1">ROUND(A33/Perfomance!$D$10,2)</f>
        <v>0.56000000000000005</v>
      </c>
      <c r="C33" s="26">
        <f ca="1">-(Perfomance!$C$10/Perfomance!$D$10)*$A33+Perfomance!$C$10</f>
        <v>7784.3333333333394</v>
      </c>
      <c r="D33" s="25">
        <f ca="1">$C33/Perfomance!$C$10</f>
        <v>0.44000000000000039</v>
      </c>
      <c r="E33" s="27">
        <f ca="1">(Perfomance!$E$10-Perfomance!$F$10)/Perfomance!$D$10*$A33+Perfomance!$F$10</f>
        <v>44.197999999999965</v>
      </c>
      <c r="F33" s="25">
        <f ca="1">$E33/Perfomance!$E$10</f>
        <v>0.56724705882352899</v>
      </c>
      <c r="G33" s="27">
        <f t="shared" ca="1" si="0"/>
        <v>203.45317104328242</v>
      </c>
      <c r="H33" s="25">
        <f ca="1">$G33/Perfomance!$G$10</f>
        <v>0.98560000000000025</v>
      </c>
      <c r="I33" s="27">
        <f ca="1">$E33*Perfomance!$B$10</f>
        <v>486.1779999999996</v>
      </c>
      <c r="J33" s="25">
        <f t="shared" ca="1" si="1"/>
        <v>0.41847465546216117</v>
      </c>
      <c r="K33" s="28" t="e">
        <f ca="1">IF($E33&lt;=Perfomance!$B$5,Calculation!$D33,#N/A)</f>
        <v>#N/A</v>
      </c>
      <c r="L33" s="28" t="e">
        <f ca="1">IF($E33&lt;=Perfomance!$B$5,Calculation!$F33,#N/A)</f>
        <v>#N/A</v>
      </c>
      <c r="M33" s="28" t="e">
        <f ca="1">IF($E33&lt;=Perfomance!$B$5,Calculation!$H33,#N/A)</f>
        <v>#N/A</v>
      </c>
      <c r="N33" s="28" t="e">
        <f ca="1">IF($E33&lt;=Perfomance!$B$5,Calculation!$J33,#N/A)</f>
        <v>#N/A</v>
      </c>
    </row>
    <row r="34" spans="1:14" x14ac:dyDescent="0.2">
      <c r="A34" s="24">
        <f ca="1">A33+Perfomance!$D$10/50</f>
        <v>0.25849633333333316</v>
      </c>
      <c r="B34" s="25">
        <f ca="1">ROUND(A34/Perfomance!$D$10,2)</f>
        <v>0.57999999999999996</v>
      </c>
      <c r="C34" s="26">
        <f ca="1">-(Perfomance!$C$10/Perfomance!$D$10)*$A34+Perfomance!$C$10</f>
        <v>7430.5000000000055</v>
      </c>
      <c r="D34" s="25">
        <f ca="1">$C34/Perfomance!$C$10</f>
        <v>0.42000000000000037</v>
      </c>
      <c r="E34" s="27">
        <f ca="1">(Perfomance!$E$10-Perfomance!$F$10)/Perfomance!$D$10*$A34+Perfomance!$F$10</f>
        <v>45.730666666666629</v>
      </c>
      <c r="F34" s="25">
        <f ca="1">$E34/Perfomance!$E$10</f>
        <v>0.5869176470588231</v>
      </c>
      <c r="G34" s="27">
        <f t="shared" ca="1" si="0"/>
        <v>201.14120319051784</v>
      </c>
      <c r="H34" s="25">
        <f ca="1">$G34/Perfomance!$G$10</f>
        <v>0.97440000000000027</v>
      </c>
      <c r="I34" s="27">
        <f ca="1">$E34*Perfomance!$B$10</f>
        <v>503.03733333333292</v>
      </c>
      <c r="J34" s="25">
        <f t="shared" ca="1" si="1"/>
        <v>0.39985343007779012</v>
      </c>
      <c r="K34" s="28" t="e">
        <f ca="1">IF($E34&lt;=Perfomance!$B$5,Calculation!$D34,#N/A)</f>
        <v>#N/A</v>
      </c>
      <c r="L34" s="28" t="e">
        <f ca="1">IF($E34&lt;=Perfomance!$B$5,Calculation!$F34,#N/A)</f>
        <v>#N/A</v>
      </c>
      <c r="M34" s="28" t="e">
        <f ca="1">IF($E34&lt;=Perfomance!$B$5,Calculation!$H34,#N/A)</f>
        <v>#N/A</v>
      </c>
      <c r="N34" s="28" t="e">
        <f ca="1">IF($E34&lt;=Perfomance!$B$5,Calculation!$J34,#N/A)</f>
        <v>#N/A</v>
      </c>
    </row>
    <row r="35" spans="1:14" x14ac:dyDescent="0.2">
      <c r="A35" s="24">
        <f ca="1">A34+Perfomance!$D$10/50</f>
        <v>0.26740999999999981</v>
      </c>
      <c r="B35" s="25">
        <f ca="1">ROUND(A35/Perfomance!$D$10,2)</f>
        <v>0.6</v>
      </c>
      <c r="C35" s="26">
        <f ca="1">-(Perfomance!$C$10/Perfomance!$D$10)*$A35+Perfomance!$C$10</f>
        <v>7076.6666666666733</v>
      </c>
      <c r="D35" s="25">
        <f ca="1">$C35/Perfomance!$C$10</f>
        <v>0.40000000000000041</v>
      </c>
      <c r="E35" s="27">
        <f ca="1">(Perfomance!$E$10-Perfomance!$F$10)/Perfomance!$D$10*$A35+Perfomance!$F$10</f>
        <v>47.263333333333293</v>
      </c>
      <c r="F35" s="25">
        <f ca="1">$E35/Perfomance!$E$10</f>
        <v>0.60658823529411721</v>
      </c>
      <c r="G35" s="27">
        <f t="shared" ca="1" si="0"/>
        <v>198.16867309410628</v>
      </c>
      <c r="H35" s="25">
        <f ca="1">$G35/Perfomance!$G$10</f>
        <v>0.96000000000000041</v>
      </c>
      <c r="I35" s="27">
        <f ca="1">$E35*Perfomance!$B$10</f>
        <v>519.89666666666619</v>
      </c>
      <c r="J35" s="25">
        <f t="shared" ca="1" si="1"/>
        <v>0.38116934729485946</v>
      </c>
      <c r="K35" s="28" t="e">
        <f ca="1">IF($E35&lt;=Perfomance!$B$5,Calculation!$D35,#N/A)</f>
        <v>#N/A</v>
      </c>
      <c r="L35" s="28" t="e">
        <f ca="1">IF($E35&lt;=Perfomance!$B$5,Calculation!$F35,#N/A)</f>
        <v>#N/A</v>
      </c>
      <c r="M35" s="28" t="e">
        <f ca="1">IF($E35&lt;=Perfomance!$B$5,Calculation!$H35,#N/A)</f>
        <v>#N/A</v>
      </c>
      <c r="N35" s="28" t="e">
        <f ca="1">IF($E35&lt;=Perfomance!$B$5,Calculation!$J35,#N/A)</f>
        <v>#N/A</v>
      </c>
    </row>
    <row r="36" spans="1:14" x14ac:dyDescent="0.2">
      <c r="A36" s="24">
        <f ca="1">A35+Perfomance!$D$10/50</f>
        <v>0.27632366666666647</v>
      </c>
      <c r="B36" s="25">
        <f ca="1">ROUND(A36/Perfomance!$D$10,2)</f>
        <v>0.62</v>
      </c>
      <c r="C36" s="26">
        <f ca="1">-(Perfomance!$C$10/Perfomance!$D$10)*$A36+Perfomance!$C$10</f>
        <v>6722.8333333333412</v>
      </c>
      <c r="D36" s="25">
        <f ca="1">$C36/Perfomance!$C$10</f>
        <v>0.3800000000000005</v>
      </c>
      <c r="E36" s="27">
        <f ca="1">(Perfomance!$E$10-Perfomance!$F$10)/Perfomance!$D$10*$A36+Perfomance!$F$10</f>
        <v>48.795999999999957</v>
      </c>
      <c r="F36" s="25">
        <f ca="1">$E36/Perfomance!$E$10</f>
        <v>0.62625882352941131</v>
      </c>
      <c r="G36" s="27">
        <f t="shared" ca="1" si="0"/>
        <v>194.53558075404771</v>
      </c>
      <c r="H36" s="25">
        <f ca="1">$G36/Perfomance!$G$10</f>
        <v>0.94240000000000068</v>
      </c>
      <c r="I36" s="27">
        <f ca="1">$E36*Perfomance!$B$10</f>
        <v>536.75599999999952</v>
      </c>
      <c r="J36" s="25">
        <f t="shared" ca="1" si="1"/>
        <v>0.36242833010538844</v>
      </c>
      <c r="K36" s="28" t="e">
        <f ca="1">IF($E36&lt;=Perfomance!$B$5,Calculation!$D36,#N/A)</f>
        <v>#N/A</v>
      </c>
      <c r="L36" s="28" t="e">
        <f ca="1">IF($E36&lt;=Perfomance!$B$5,Calculation!$F36,#N/A)</f>
        <v>#N/A</v>
      </c>
      <c r="M36" s="28" t="e">
        <f ca="1">IF($E36&lt;=Perfomance!$B$5,Calculation!$H36,#N/A)</f>
        <v>#N/A</v>
      </c>
      <c r="N36" s="28" t="e">
        <f ca="1">IF($E36&lt;=Perfomance!$B$5,Calculation!$J36,#N/A)</f>
        <v>#N/A</v>
      </c>
    </row>
    <row r="37" spans="1:14" x14ac:dyDescent="0.2">
      <c r="A37" s="24">
        <f ca="1">A36+Perfomance!$D$10/50</f>
        <v>0.28523733333333312</v>
      </c>
      <c r="B37" s="25">
        <f ca="1">ROUND(A37/Perfomance!$D$10,2)</f>
        <v>0.64</v>
      </c>
      <c r="C37" s="26">
        <f ca="1">-(Perfomance!$C$10/Perfomance!$D$10)*$A37+Perfomance!$C$10</f>
        <v>6369.0000000000073</v>
      </c>
      <c r="D37" s="25">
        <f ca="1">$C37/Perfomance!$C$10</f>
        <v>0.36000000000000049</v>
      </c>
      <c r="E37" s="27">
        <f ca="1">(Perfomance!$E$10-Perfomance!$F$10)/Perfomance!$D$10*$A37+Perfomance!$F$10</f>
        <v>50.328666666666621</v>
      </c>
      <c r="F37" s="25">
        <f ca="1">$E37/Perfomance!$E$10</f>
        <v>0.64592941176470542</v>
      </c>
      <c r="G37" s="27">
        <f t="shared" ref="G37:G55" ca="1" si="2">$A37*$C37*2*PI()/60</f>
        <v>190.24192617034205</v>
      </c>
      <c r="H37" s="25">
        <f ca="1">$G37/Perfomance!$G$10</f>
        <v>0.92160000000000053</v>
      </c>
      <c r="I37" s="27">
        <f ca="1">$E37*Perfomance!$B$10</f>
        <v>553.61533333333284</v>
      </c>
      <c r="J37" s="25">
        <f t="shared" ref="J37:J55" ca="1" si="3">IF($I37=0,0,$G37/$I37)</f>
        <v>0.34363558000622973</v>
      </c>
      <c r="K37" s="28" t="e">
        <f ca="1">IF($E37&lt;=Perfomance!$B$5,Calculation!$D37,#N/A)</f>
        <v>#N/A</v>
      </c>
      <c r="L37" s="28" t="e">
        <f ca="1">IF($E37&lt;=Perfomance!$B$5,Calculation!$F37,#N/A)</f>
        <v>#N/A</v>
      </c>
      <c r="M37" s="28" t="e">
        <f ca="1">IF($E37&lt;=Perfomance!$B$5,Calculation!$H37,#N/A)</f>
        <v>#N/A</v>
      </c>
      <c r="N37" s="28" t="e">
        <f ca="1">IF($E37&lt;=Perfomance!$B$5,Calculation!$J37,#N/A)</f>
        <v>#N/A</v>
      </c>
    </row>
    <row r="38" spans="1:14" x14ac:dyDescent="0.2">
      <c r="A38" s="24">
        <f ca="1">A37+Perfomance!$D$10/50</f>
        <v>0.29415099999999977</v>
      </c>
      <c r="B38" s="25">
        <f ca="1">ROUND(A38/Perfomance!$D$10,2)</f>
        <v>0.66</v>
      </c>
      <c r="C38" s="26">
        <f ca="1">-(Perfomance!$C$10/Perfomance!$D$10)*$A38+Perfomance!$C$10</f>
        <v>6015.1666666666752</v>
      </c>
      <c r="D38" s="25">
        <f ca="1">$C38/Perfomance!$C$10</f>
        <v>0.34000000000000052</v>
      </c>
      <c r="E38" s="27">
        <f ca="1">(Perfomance!$E$10-Perfomance!$F$10)/Perfomance!$D$10*$A38+Perfomance!$F$10</f>
        <v>51.861333333333292</v>
      </c>
      <c r="F38" s="25">
        <f ca="1">$E38/Perfomance!$E$10</f>
        <v>0.66559999999999953</v>
      </c>
      <c r="G38" s="27">
        <f t="shared" ca="1" si="2"/>
        <v>185.28770934298944</v>
      </c>
      <c r="H38" s="25">
        <f ca="1">$G38/Perfomance!$G$10</f>
        <v>0.89760000000000073</v>
      </c>
      <c r="I38" s="27">
        <f ca="1">$E38*Perfomance!$B$10</f>
        <v>570.47466666666617</v>
      </c>
      <c r="J38" s="25">
        <f t="shared" ca="1" si="3"/>
        <v>0.32479568361140709</v>
      </c>
      <c r="K38" s="28" t="e">
        <f ca="1">IF($E38&lt;=Perfomance!$B$5,Calculation!$D38,#N/A)</f>
        <v>#N/A</v>
      </c>
      <c r="L38" s="28" t="e">
        <f ca="1">IF($E38&lt;=Perfomance!$B$5,Calculation!$F38,#N/A)</f>
        <v>#N/A</v>
      </c>
      <c r="M38" s="28" t="e">
        <f ca="1">IF($E38&lt;=Perfomance!$B$5,Calculation!$H38,#N/A)</f>
        <v>#N/A</v>
      </c>
      <c r="N38" s="28" t="e">
        <f ca="1">IF($E38&lt;=Perfomance!$B$5,Calculation!$J38,#N/A)</f>
        <v>#N/A</v>
      </c>
    </row>
    <row r="39" spans="1:14" x14ac:dyDescent="0.2">
      <c r="A39" s="24">
        <f ca="1">A38+Perfomance!$D$10/50</f>
        <v>0.30306466666666643</v>
      </c>
      <c r="B39" s="25">
        <f ca="1">ROUND(A39/Perfomance!$D$10,2)</f>
        <v>0.68</v>
      </c>
      <c r="C39" s="26">
        <f ca="1">-(Perfomance!$C$10/Perfomance!$D$10)*$A39+Perfomance!$C$10</f>
        <v>5661.333333333343</v>
      </c>
      <c r="D39" s="25">
        <f ca="1">$C39/Perfomance!$C$10</f>
        <v>0.32000000000000062</v>
      </c>
      <c r="E39" s="27">
        <f ca="1">(Perfomance!$E$10-Perfomance!$F$10)/Perfomance!$D$10*$A39+Perfomance!$F$10</f>
        <v>53.393999999999956</v>
      </c>
      <c r="F39" s="25">
        <f ca="1">$E39/Perfomance!$E$10</f>
        <v>0.68527058823529363</v>
      </c>
      <c r="G39" s="27">
        <f t="shared" ca="1" si="2"/>
        <v>179.67293027198983</v>
      </c>
      <c r="H39" s="25">
        <f ca="1">$G39/Perfomance!$G$10</f>
        <v>0.87040000000000106</v>
      </c>
      <c r="I39" s="27">
        <f ca="1">$E39*Perfomance!$B$10</f>
        <v>587.33399999999949</v>
      </c>
      <c r="J39" s="25">
        <f t="shared" ca="1" si="3"/>
        <v>0.30591270090270611</v>
      </c>
      <c r="K39" s="28" t="e">
        <f ca="1">IF($E39&lt;=Perfomance!$B$5,Calculation!$D39,#N/A)</f>
        <v>#N/A</v>
      </c>
      <c r="L39" s="28" t="e">
        <f ca="1">IF($E39&lt;=Perfomance!$B$5,Calculation!$F39,#N/A)</f>
        <v>#N/A</v>
      </c>
      <c r="M39" s="28" t="e">
        <f ca="1">IF($E39&lt;=Perfomance!$B$5,Calculation!$H39,#N/A)</f>
        <v>#N/A</v>
      </c>
      <c r="N39" s="28" t="e">
        <f ca="1">IF($E39&lt;=Perfomance!$B$5,Calculation!$J39,#N/A)</f>
        <v>#N/A</v>
      </c>
    </row>
    <row r="40" spans="1:14" x14ac:dyDescent="0.2">
      <c r="A40" s="24">
        <f ca="1">A39+Perfomance!$D$10/50</f>
        <v>0.31197833333333308</v>
      </c>
      <c r="B40" s="25">
        <f ca="1">ROUND(A40/Perfomance!$D$10,2)</f>
        <v>0.7</v>
      </c>
      <c r="C40" s="26">
        <f ca="1">-(Perfomance!$C$10/Perfomance!$D$10)*$A40+Perfomance!$C$10</f>
        <v>5307.5000000000091</v>
      </c>
      <c r="D40" s="25">
        <f ca="1">$C40/Perfomance!$C$10</f>
        <v>0.30000000000000054</v>
      </c>
      <c r="E40" s="27">
        <f ca="1">(Perfomance!$E$10-Perfomance!$F$10)/Perfomance!$D$10*$A40+Perfomance!$F$10</f>
        <v>54.92666666666662</v>
      </c>
      <c r="F40" s="25">
        <f ca="1">$E40/Perfomance!$E$10</f>
        <v>0.70494117647058774</v>
      </c>
      <c r="G40" s="27">
        <f t="shared" ca="1" si="2"/>
        <v>173.39758895734309</v>
      </c>
      <c r="H40" s="25">
        <f ca="1">$G40/Perfomance!$G$10</f>
        <v>0.84000000000000086</v>
      </c>
      <c r="I40" s="27">
        <f ca="1">$E40*Perfomance!$B$10</f>
        <v>604.19333333333282</v>
      </c>
      <c r="J40" s="25">
        <f t="shared" ca="1" si="3"/>
        <v>0.28699023870506662</v>
      </c>
      <c r="K40" s="28" t="e">
        <f ca="1">IF($E40&lt;=Perfomance!$B$5,Calculation!$D40,#N/A)</f>
        <v>#N/A</v>
      </c>
      <c r="L40" s="28" t="e">
        <f ca="1">IF($E40&lt;=Perfomance!$B$5,Calculation!$F40,#N/A)</f>
        <v>#N/A</v>
      </c>
      <c r="M40" s="28" t="e">
        <f ca="1">IF($E40&lt;=Perfomance!$B$5,Calculation!$H40,#N/A)</f>
        <v>#N/A</v>
      </c>
      <c r="N40" s="28" t="e">
        <f ca="1">IF($E40&lt;=Perfomance!$B$5,Calculation!$J40,#N/A)</f>
        <v>#N/A</v>
      </c>
    </row>
    <row r="41" spans="1:14" x14ac:dyDescent="0.2">
      <c r="A41" s="24">
        <f ca="1">A40+Perfomance!$D$10/50</f>
        <v>0.32089199999999973</v>
      </c>
      <c r="B41" s="25">
        <f ca="1">ROUND(A41/Perfomance!$D$10,2)</f>
        <v>0.72</v>
      </c>
      <c r="C41" s="26">
        <f ca="1">-(Perfomance!$C$10/Perfomance!$D$10)*$A41+Perfomance!$C$10</f>
        <v>4953.666666666677</v>
      </c>
      <c r="D41" s="25">
        <f ca="1">$C41/Perfomance!$C$10</f>
        <v>0.28000000000000064</v>
      </c>
      <c r="E41" s="27">
        <f ca="1">(Perfomance!$E$10-Perfomance!$F$10)/Perfomance!$D$10*$A41+Perfomance!$F$10</f>
        <v>56.459333333333284</v>
      </c>
      <c r="F41" s="25">
        <f ca="1">$E41/Perfomance!$E$10</f>
        <v>0.72461176470588184</v>
      </c>
      <c r="G41" s="27">
        <f t="shared" ca="1" si="2"/>
        <v>166.46168539904946</v>
      </c>
      <c r="H41" s="25">
        <f ca="1">$G41/Perfomance!$G$10</f>
        <v>0.80640000000000123</v>
      </c>
      <c r="I41" s="27">
        <f ca="1">$E41*Perfomance!$B$10</f>
        <v>621.05266666666614</v>
      </c>
      <c r="J41" s="25">
        <f t="shared" ca="1" si="3"/>
        <v>0.26803151219442944</v>
      </c>
      <c r="K41" s="28" t="e">
        <f ca="1">IF($E41&lt;=Perfomance!$B$5,Calculation!$D41,#N/A)</f>
        <v>#N/A</v>
      </c>
      <c r="L41" s="28" t="e">
        <f ca="1">IF($E41&lt;=Perfomance!$B$5,Calculation!$F41,#N/A)</f>
        <v>#N/A</v>
      </c>
      <c r="M41" s="28" t="e">
        <f ca="1">IF($E41&lt;=Perfomance!$B$5,Calculation!$H41,#N/A)</f>
        <v>#N/A</v>
      </c>
      <c r="N41" s="28" t="e">
        <f ca="1">IF($E41&lt;=Perfomance!$B$5,Calculation!$J41,#N/A)</f>
        <v>#N/A</v>
      </c>
    </row>
    <row r="42" spans="1:14" x14ac:dyDescent="0.2">
      <c r="A42" s="24">
        <f ca="1">A41+Perfomance!$D$10/50</f>
        <v>0.32980566666666639</v>
      </c>
      <c r="B42" s="25">
        <f ca="1">ROUND(A42/Perfomance!$D$10,2)</f>
        <v>0.74</v>
      </c>
      <c r="C42" s="26">
        <f ca="1">-(Perfomance!$C$10/Perfomance!$D$10)*$A42+Perfomance!$C$10</f>
        <v>4599.8333333333449</v>
      </c>
      <c r="D42" s="25">
        <f ca="1">$C42/Perfomance!$C$10</f>
        <v>0.26000000000000068</v>
      </c>
      <c r="E42" s="27">
        <f ca="1">(Perfomance!$E$10-Perfomance!$F$10)/Perfomance!$D$10*$A42+Perfomance!$F$10</f>
        <v>57.991999999999948</v>
      </c>
      <c r="F42" s="25">
        <f ca="1">$E42/Perfomance!$E$10</f>
        <v>0.74428235294117584</v>
      </c>
      <c r="G42" s="27">
        <f t="shared" ca="1" si="2"/>
        <v>158.86521959710873</v>
      </c>
      <c r="H42" s="25">
        <f ca="1">$G42/Perfomance!$G$10</f>
        <v>0.76960000000000128</v>
      </c>
      <c r="I42" s="27">
        <f ca="1">$E42*Perfomance!$B$10</f>
        <v>637.91199999999947</v>
      </c>
      <c r="J42" s="25">
        <f t="shared" ca="1" si="3"/>
        <v>0.24903939665205996</v>
      </c>
      <c r="K42" s="28" t="e">
        <f ca="1">IF($E42&lt;=Perfomance!$B$5,Calculation!$D42,#N/A)</f>
        <v>#N/A</v>
      </c>
      <c r="L42" s="28" t="e">
        <f ca="1">IF($E42&lt;=Perfomance!$B$5,Calculation!$F42,#N/A)</f>
        <v>#N/A</v>
      </c>
      <c r="M42" s="28" t="e">
        <f ca="1">IF($E42&lt;=Perfomance!$B$5,Calculation!$H42,#N/A)</f>
        <v>#N/A</v>
      </c>
      <c r="N42" s="28" t="e">
        <f ca="1">IF($E42&lt;=Perfomance!$B$5,Calculation!$J42,#N/A)</f>
        <v>#N/A</v>
      </c>
    </row>
    <row r="43" spans="1:14" x14ac:dyDescent="0.2">
      <c r="A43" s="24">
        <f ca="1">A42+Perfomance!$D$10/50</f>
        <v>0.33871933333333304</v>
      </c>
      <c r="B43" s="25">
        <f ca="1">ROUND(A43/Perfomance!$D$10,2)</f>
        <v>0.76</v>
      </c>
      <c r="C43" s="26">
        <f ca="1">-(Perfomance!$C$10/Perfomance!$D$10)*$A43+Perfomance!$C$10</f>
        <v>4246.0000000000109</v>
      </c>
      <c r="D43" s="25">
        <f ca="1">$C43/Perfomance!$C$10</f>
        <v>0.24000000000000066</v>
      </c>
      <c r="E43" s="27">
        <f ca="1">(Perfomance!$E$10-Perfomance!$F$10)/Perfomance!$D$10*$A43+Perfomance!$F$10</f>
        <v>59.524666666666612</v>
      </c>
      <c r="F43" s="25">
        <f ca="1">$E43/Perfomance!$E$10</f>
        <v>0.76395294117646995</v>
      </c>
      <c r="G43" s="27">
        <f t="shared" ca="1" si="2"/>
        <v>150.608191551521</v>
      </c>
      <c r="H43" s="25">
        <f ca="1">$G43/Perfomance!$G$10</f>
        <v>0.72960000000000147</v>
      </c>
      <c r="I43" s="27">
        <f ca="1">$E43*Perfomance!$B$10</f>
        <v>654.77133333333268</v>
      </c>
      <c r="J43" s="25">
        <f t="shared" ca="1" si="3"/>
        <v>0.23001647122331942</v>
      </c>
      <c r="K43" s="28" t="e">
        <f ca="1">IF($E43&lt;=Perfomance!$B$5,Calculation!$D43,#N/A)</f>
        <v>#N/A</v>
      </c>
      <c r="L43" s="28" t="e">
        <f ca="1">IF($E43&lt;=Perfomance!$B$5,Calculation!$F43,#N/A)</f>
        <v>#N/A</v>
      </c>
      <c r="M43" s="28" t="e">
        <f ca="1">IF($E43&lt;=Perfomance!$B$5,Calculation!$H43,#N/A)</f>
        <v>#N/A</v>
      </c>
      <c r="N43" s="28" t="e">
        <f ca="1">IF($E43&lt;=Perfomance!$B$5,Calculation!$J43,#N/A)</f>
        <v>#N/A</v>
      </c>
    </row>
    <row r="44" spans="1:14" x14ac:dyDescent="0.2">
      <c r="A44" s="24">
        <f ca="1">A43+Perfomance!$D$10/50</f>
        <v>0.34763299999999969</v>
      </c>
      <c r="B44" s="25">
        <f ca="1">ROUND(A44/Perfomance!$D$10,2)</f>
        <v>0.78</v>
      </c>
      <c r="C44" s="26">
        <f ca="1">-(Perfomance!$C$10/Perfomance!$D$10)*$A44+Perfomance!$C$10</f>
        <v>3892.1666666666788</v>
      </c>
      <c r="D44" s="25">
        <f ca="1">$C44/Perfomance!$C$10</f>
        <v>0.22000000000000072</v>
      </c>
      <c r="E44" s="27">
        <f ca="1">(Perfomance!$E$10-Perfomance!$F$10)/Perfomance!$D$10*$A44+Perfomance!$F$10</f>
        <v>61.057333333333276</v>
      </c>
      <c r="F44" s="25">
        <f ca="1">$E44/Perfomance!$E$10</f>
        <v>0.78362352941176405</v>
      </c>
      <c r="G44" s="27">
        <f t="shared" ca="1" si="2"/>
        <v>141.69060126228626</v>
      </c>
      <c r="H44" s="25">
        <f ca="1">$G44/Perfomance!$G$10</f>
        <v>0.68640000000000156</v>
      </c>
      <c r="I44" s="27">
        <f ca="1">$E44*Perfomance!$B$10</f>
        <v>671.630666666666</v>
      </c>
      <c r="J44" s="25">
        <f t="shared" ca="1" si="3"/>
        <v>0.21096505608581465</v>
      </c>
      <c r="K44" s="28" t="e">
        <f ca="1">IF($E44&lt;=Perfomance!$B$5,Calculation!$D44,#N/A)</f>
        <v>#N/A</v>
      </c>
      <c r="L44" s="28" t="e">
        <f ca="1">IF($E44&lt;=Perfomance!$B$5,Calculation!$F44,#N/A)</f>
        <v>#N/A</v>
      </c>
      <c r="M44" s="28" t="e">
        <f ca="1">IF($E44&lt;=Perfomance!$B$5,Calculation!$H44,#N/A)</f>
        <v>#N/A</v>
      </c>
      <c r="N44" s="28" t="e">
        <f ca="1">IF($E44&lt;=Perfomance!$B$5,Calculation!$J44,#N/A)</f>
        <v>#N/A</v>
      </c>
    </row>
    <row r="45" spans="1:14" x14ac:dyDescent="0.2">
      <c r="A45" s="24">
        <f ca="1">A44+Perfomance!$D$10/50</f>
        <v>0.35654666666666635</v>
      </c>
      <c r="B45" s="25">
        <f ca="1">ROUND(A45/Perfomance!$D$10,2)</f>
        <v>0.8</v>
      </c>
      <c r="C45" s="26">
        <f ca="1">-(Perfomance!$C$10/Perfomance!$D$10)*$A45+Perfomance!$C$10</f>
        <v>3538.3333333333449</v>
      </c>
      <c r="D45" s="25">
        <f ca="1">$C45/Perfomance!$C$10</f>
        <v>0.20000000000000068</v>
      </c>
      <c r="E45" s="27">
        <f ca="1">(Perfomance!$E$10-Perfomance!$F$10)/Perfomance!$D$10*$A45+Perfomance!$F$10</f>
        <v>62.589999999999939</v>
      </c>
      <c r="F45" s="25">
        <f ca="1">$E45/Perfomance!$E$10</f>
        <v>0.80329411764705816</v>
      </c>
      <c r="G45" s="27">
        <f t="shared" ca="1" si="2"/>
        <v>132.11244872940446</v>
      </c>
      <c r="H45" s="25">
        <f ca="1">$G45/Perfomance!$G$10</f>
        <v>0.64000000000000157</v>
      </c>
      <c r="I45" s="27">
        <f ca="1">$E45*Perfomance!$B$10</f>
        <v>688.48999999999933</v>
      </c>
      <c r="J45" s="25">
        <f t="shared" ca="1" si="3"/>
        <v>0.1918872441566393</v>
      </c>
      <c r="K45" s="28" t="e">
        <f ca="1">IF($E45&lt;=Perfomance!$B$5,Calculation!$D45,#N/A)</f>
        <v>#N/A</v>
      </c>
      <c r="L45" s="28" t="e">
        <f ca="1">IF($E45&lt;=Perfomance!$B$5,Calculation!$F45,#N/A)</f>
        <v>#N/A</v>
      </c>
      <c r="M45" s="28" t="e">
        <f ca="1">IF($E45&lt;=Perfomance!$B$5,Calculation!$H45,#N/A)</f>
        <v>#N/A</v>
      </c>
      <c r="N45" s="28" t="e">
        <f ca="1">IF($E45&lt;=Perfomance!$B$5,Calculation!$J45,#N/A)</f>
        <v>#N/A</v>
      </c>
    </row>
    <row r="46" spans="1:14" x14ac:dyDescent="0.2">
      <c r="A46" s="24">
        <f ca="1">A45+Perfomance!$D$10/50</f>
        <v>0.365460333333333</v>
      </c>
      <c r="B46" s="25">
        <f ca="1">ROUND(A46/Perfomance!$D$10,2)</f>
        <v>0.82</v>
      </c>
      <c r="C46" s="26">
        <f ca="1">-(Perfomance!$C$10/Perfomance!$D$10)*$A46+Perfomance!$C$10</f>
        <v>3184.5000000000127</v>
      </c>
      <c r="D46" s="25">
        <f ca="1">$C46/Perfomance!$C$10</f>
        <v>0.18000000000000074</v>
      </c>
      <c r="E46" s="27">
        <f ca="1">(Perfomance!$E$10-Perfomance!$F$10)/Perfomance!$D$10*$A46+Perfomance!$F$10</f>
        <v>64.122666666666603</v>
      </c>
      <c r="F46" s="25">
        <f ca="1">$E46/Perfomance!$E$10</f>
        <v>0.82296470588235227</v>
      </c>
      <c r="G46" s="27">
        <f t="shared" ca="1" si="2"/>
        <v>121.8737339528757</v>
      </c>
      <c r="H46" s="25">
        <f ca="1">$G46/Perfomance!$G$10</f>
        <v>0.59040000000000181</v>
      </c>
      <c r="I46" s="27">
        <f ca="1">$E46*Perfomance!$B$10</f>
        <v>705.34933333333265</v>
      </c>
      <c r="J46" s="25">
        <f t="shared" ca="1" si="3"/>
        <v>0.17278492825239666</v>
      </c>
      <c r="K46" s="28" t="e">
        <f ca="1">IF($E46&lt;=Perfomance!$B$5,Calculation!$D46,#N/A)</f>
        <v>#N/A</v>
      </c>
      <c r="L46" s="28" t="e">
        <f ca="1">IF($E46&lt;=Perfomance!$B$5,Calculation!$F46,#N/A)</f>
        <v>#N/A</v>
      </c>
      <c r="M46" s="28" t="e">
        <f ca="1">IF($E46&lt;=Perfomance!$B$5,Calculation!$H46,#N/A)</f>
        <v>#N/A</v>
      </c>
      <c r="N46" s="28" t="e">
        <f ca="1">IF($E46&lt;=Perfomance!$B$5,Calculation!$J46,#N/A)</f>
        <v>#N/A</v>
      </c>
    </row>
    <row r="47" spans="1:14" x14ac:dyDescent="0.2">
      <c r="A47" s="24">
        <f ca="1">A46+Perfomance!$D$10/50</f>
        <v>0.37437399999999965</v>
      </c>
      <c r="B47" s="25">
        <f ca="1">ROUND(A47/Perfomance!$D$10,2)</f>
        <v>0.84</v>
      </c>
      <c r="C47" s="26">
        <f ca="1">-(Perfomance!$C$10/Perfomance!$D$10)*$A47+Perfomance!$C$10</f>
        <v>2830.6666666666806</v>
      </c>
      <c r="D47" s="25">
        <f ca="1">$C47/Perfomance!$C$10</f>
        <v>0.16000000000000081</v>
      </c>
      <c r="E47" s="27">
        <f ca="1">(Perfomance!$E$10-Perfomance!$F$10)/Perfomance!$D$10*$A47+Perfomance!$F$10</f>
        <v>65.65533333333326</v>
      </c>
      <c r="F47" s="25">
        <f ca="1">$E47/Perfomance!$E$10</f>
        <v>0.84263529411764626</v>
      </c>
      <c r="G47" s="27">
        <f t="shared" ca="1" si="2"/>
        <v>110.97445693269992</v>
      </c>
      <c r="H47" s="25">
        <f ca="1">$G47/Perfomance!$G$10</f>
        <v>0.53760000000000219</v>
      </c>
      <c r="I47" s="27">
        <f ca="1">$E47*Perfomance!$B$10</f>
        <v>722.20866666666586</v>
      </c>
      <c r="J47" s="25">
        <f t="shared" ca="1" si="3"/>
        <v>0.15365982444505888</v>
      </c>
      <c r="K47" s="28" t="e">
        <f ca="1">IF($E47&lt;=Perfomance!$B$5,Calculation!$D47,#N/A)</f>
        <v>#N/A</v>
      </c>
      <c r="L47" s="28" t="e">
        <f ca="1">IF($E47&lt;=Perfomance!$B$5,Calculation!$F47,#N/A)</f>
        <v>#N/A</v>
      </c>
      <c r="M47" s="28" t="e">
        <f ca="1">IF($E47&lt;=Perfomance!$B$5,Calculation!$H47,#N/A)</f>
        <v>#N/A</v>
      </c>
      <c r="N47" s="28" t="e">
        <f ca="1">IF($E47&lt;=Perfomance!$B$5,Calculation!$J47,#N/A)</f>
        <v>#N/A</v>
      </c>
    </row>
    <row r="48" spans="1:14" x14ac:dyDescent="0.2">
      <c r="A48" s="24">
        <f ca="1">A47+Perfomance!$D$10/50</f>
        <v>0.3832876666666663</v>
      </c>
      <c r="B48" s="25">
        <f ca="1">ROUND(A48/Perfomance!$D$10,2)</f>
        <v>0.86</v>
      </c>
      <c r="C48" s="26">
        <f ca="1">-(Perfomance!$C$10/Perfomance!$D$10)*$A48+Perfomance!$C$10</f>
        <v>2476.8333333333467</v>
      </c>
      <c r="D48" s="25">
        <f ca="1">$C48/Perfomance!$C$10</f>
        <v>0.14000000000000076</v>
      </c>
      <c r="E48" s="27">
        <f ca="1">(Perfomance!$E$10-Perfomance!$F$10)/Perfomance!$D$10*$A48+Perfomance!$F$10</f>
        <v>67.187999999999931</v>
      </c>
      <c r="F48" s="25">
        <f ca="1">$E48/Perfomance!$E$10</f>
        <v>0.86230588235294037</v>
      </c>
      <c r="G48" s="27">
        <f t="shared" ca="1" si="2"/>
        <v>99.414617668877071</v>
      </c>
      <c r="H48" s="25">
        <f ca="1">$G48/Perfomance!$G$10</f>
        <v>0.48160000000000225</v>
      </c>
      <c r="I48" s="27">
        <f ca="1">$E48*Perfomance!$B$10</f>
        <v>739.0679999999993</v>
      </c>
      <c r="J48" s="25">
        <f t="shared" ca="1" si="3"/>
        <v>0.13451349222111791</v>
      </c>
      <c r="K48" s="28" t="e">
        <f ca="1">IF($E48&lt;=Perfomance!$B$5,Calculation!$D48,#N/A)</f>
        <v>#N/A</v>
      </c>
      <c r="L48" s="28" t="e">
        <f ca="1">IF($E48&lt;=Perfomance!$B$5,Calculation!$F48,#N/A)</f>
        <v>#N/A</v>
      </c>
      <c r="M48" s="28" t="e">
        <f ca="1">IF($E48&lt;=Perfomance!$B$5,Calculation!$H48,#N/A)</f>
        <v>#N/A</v>
      </c>
      <c r="N48" s="28" t="e">
        <f ca="1">IF($E48&lt;=Perfomance!$B$5,Calculation!$J48,#N/A)</f>
        <v>#N/A</v>
      </c>
    </row>
    <row r="49" spans="1:14" x14ac:dyDescent="0.2">
      <c r="A49" s="24">
        <f ca="1">A48+Perfomance!$D$10/50</f>
        <v>0.39220133333333296</v>
      </c>
      <c r="B49" s="25">
        <f ca="1">ROUND(A49/Perfomance!$D$10,2)</f>
        <v>0.88</v>
      </c>
      <c r="C49" s="26">
        <f ca="1">-(Perfomance!$C$10/Perfomance!$D$10)*$A49+Perfomance!$C$10</f>
        <v>2123.0000000000146</v>
      </c>
      <c r="D49" s="25">
        <f ca="1">$C49/Perfomance!$C$10</f>
        <v>0.12000000000000084</v>
      </c>
      <c r="E49" s="27">
        <f ca="1">(Perfomance!$E$10-Perfomance!$F$10)/Perfomance!$D$10*$A49+Perfomance!$F$10</f>
        <v>68.720666666666588</v>
      </c>
      <c r="F49" s="25">
        <f ca="1">$E49/Perfomance!$E$10</f>
        <v>0.88197647058823436</v>
      </c>
      <c r="G49" s="27">
        <f t="shared" ca="1" si="2"/>
        <v>87.194216161407255</v>
      </c>
      <c r="H49" s="25">
        <f ca="1">$G49/Perfomance!$G$10</f>
        <v>0.42240000000000255</v>
      </c>
      <c r="I49" s="27">
        <f ca="1">$E49*Perfomance!$B$10</f>
        <v>755.92733333333251</v>
      </c>
      <c r="J49" s="25">
        <f t="shared" ca="1" si="3"/>
        <v>0.11534735194309773</v>
      </c>
      <c r="K49" s="28" t="e">
        <f ca="1">IF($E49&lt;=Perfomance!$B$5,Calculation!$D49,#N/A)</f>
        <v>#N/A</v>
      </c>
      <c r="L49" s="28" t="e">
        <f ca="1">IF($E49&lt;=Perfomance!$B$5,Calculation!$F49,#N/A)</f>
        <v>#N/A</v>
      </c>
      <c r="M49" s="28" t="e">
        <f ca="1">IF($E49&lt;=Perfomance!$B$5,Calculation!$H49,#N/A)</f>
        <v>#N/A</v>
      </c>
      <c r="N49" s="28" t="e">
        <f ca="1">IF($E49&lt;=Perfomance!$B$5,Calculation!$J49,#N/A)</f>
        <v>#N/A</v>
      </c>
    </row>
    <row r="50" spans="1:14" x14ac:dyDescent="0.2">
      <c r="A50" s="24">
        <f ca="1">A49+Perfomance!$D$10/50</f>
        <v>0.40111499999999961</v>
      </c>
      <c r="B50" s="25">
        <f ca="1">ROUND(A50/Perfomance!$D$10,2)</f>
        <v>0.9</v>
      </c>
      <c r="C50" s="26">
        <f ca="1">-(Perfomance!$C$10/Perfomance!$D$10)*$A50+Perfomance!$C$10</f>
        <v>1769.1666666666824</v>
      </c>
      <c r="D50" s="25">
        <f ca="1">$C50/Perfomance!$C$10</f>
        <v>0.10000000000000091</v>
      </c>
      <c r="E50" s="27">
        <f ca="1">(Perfomance!$E$10-Perfomance!$F$10)/Perfomance!$D$10*$A50+Perfomance!$F$10</f>
        <v>70.253333333333259</v>
      </c>
      <c r="F50" s="25">
        <f ca="1">$E50/Perfomance!$E$10</f>
        <v>0.90164705882352858</v>
      </c>
      <c r="G50" s="27">
        <f t="shared" ca="1" si="2"/>
        <v>74.313252410290431</v>
      </c>
      <c r="H50" s="25">
        <f ca="1">$G50/Perfomance!$G$10</f>
        <v>0.36000000000000293</v>
      </c>
      <c r="I50" s="27">
        <f ca="1">$E50*Perfomance!$B$10</f>
        <v>772.78666666666584</v>
      </c>
      <c r="J50" s="25">
        <f t="shared" ca="1" si="3"/>
        <v>9.6162700025393608E-2</v>
      </c>
      <c r="K50" s="28" t="e">
        <f ca="1">IF($E50&lt;=Perfomance!$B$5,Calculation!$D50,#N/A)</f>
        <v>#N/A</v>
      </c>
      <c r="L50" s="28" t="e">
        <f ca="1">IF($E50&lt;=Perfomance!$B$5,Calculation!$F50,#N/A)</f>
        <v>#N/A</v>
      </c>
      <c r="M50" s="28" t="e">
        <f ca="1">IF($E50&lt;=Perfomance!$B$5,Calculation!$H50,#N/A)</f>
        <v>#N/A</v>
      </c>
      <c r="N50" s="28" t="e">
        <f ca="1">IF($E50&lt;=Perfomance!$B$5,Calculation!$J50,#N/A)</f>
        <v>#N/A</v>
      </c>
    </row>
    <row r="51" spans="1:14" x14ac:dyDescent="0.2">
      <c r="A51" s="24">
        <f ca="1">A50+Perfomance!$D$10/50</f>
        <v>0.41002866666666626</v>
      </c>
      <c r="B51" s="25">
        <f ca="1">ROUND(A51/Perfomance!$D$10,2)</f>
        <v>0.92</v>
      </c>
      <c r="C51" s="26">
        <f ca="1">-(Perfomance!$C$10/Perfomance!$D$10)*$A51+Perfomance!$C$10</f>
        <v>1415.3333333333485</v>
      </c>
      <c r="D51" s="25">
        <f ca="1">$C51/Perfomance!$C$10</f>
        <v>8.0000000000000862E-2</v>
      </c>
      <c r="E51" s="27">
        <f ca="1">(Perfomance!$E$10-Perfomance!$F$10)/Perfomance!$D$10*$A51+Perfomance!$F$10</f>
        <v>71.785999999999916</v>
      </c>
      <c r="F51" s="25">
        <f ca="1">$E51/Perfomance!$E$10</f>
        <v>0.92131764705882258</v>
      </c>
      <c r="G51" s="27">
        <f t="shared" ca="1" si="2"/>
        <v>60.771726415526494</v>
      </c>
      <c r="H51" s="25">
        <f ca="1">$G51/Perfomance!$G$10</f>
        <v>0.29440000000000288</v>
      </c>
      <c r="I51" s="27">
        <f ca="1">$E51*Perfomance!$B$10</f>
        <v>789.64599999999905</v>
      </c>
      <c r="J51" s="25">
        <f t="shared" ca="1" si="3"/>
        <v>7.6960722166042217E-2</v>
      </c>
      <c r="K51" s="28" t="e">
        <f ca="1">IF($E51&lt;=Perfomance!$B$5,Calculation!$D51,#N/A)</f>
        <v>#N/A</v>
      </c>
      <c r="L51" s="28" t="e">
        <f ca="1">IF($E51&lt;=Perfomance!$B$5,Calculation!$F51,#N/A)</f>
        <v>#N/A</v>
      </c>
      <c r="M51" s="28" t="e">
        <f ca="1">IF($E51&lt;=Perfomance!$B$5,Calculation!$H51,#N/A)</f>
        <v>#N/A</v>
      </c>
      <c r="N51" s="28" t="e">
        <f ca="1">IF($E51&lt;=Perfomance!$B$5,Calculation!$J51,#N/A)</f>
        <v>#N/A</v>
      </c>
    </row>
    <row r="52" spans="1:14" x14ac:dyDescent="0.2">
      <c r="A52" s="24">
        <f ca="1">A51+Perfomance!$D$10/50</f>
        <v>0.41894233333333292</v>
      </c>
      <c r="B52" s="25">
        <f ca="1">ROUND(A52/Perfomance!$D$10,2)</f>
        <v>0.94</v>
      </c>
      <c r="C52" s="26">
        <f ca="1">-(Perfomance!$C$10/Perfomance!$D$10)*$A52+Perfomance!$C$10</f>
        <v>1061.5000000000182</v>
      </c>
      <c r="D52" s="25">
        <f ca="1">$C52/Perfomance!$C$10</f>
        <v>6.0000000000001039E-2</v>
      </c>
      <c r="E52" s="27">
        <f ca="1">(Perfomance!$E$10-Perfomance!$F$10)/Perfomance!$D$10*$A52+Perfomance!$F$10</f>
        <v>73.318666666666587</v>
      </c>
      <c r="F52" s="25">
        <f ca="1">$E52/Perfomance!$E$10</f>
        <v>0.94098823529411679</v>
      </c>
      <c r="G52" s="27">
        <f t="shared" ca="1" si="2"/>
        <v>46.569638177115714</v>
      </c>
      <c r="H52" s="25">
        <f ca="1">$G52/Perfomance!$G$10</f>
        <v>0.22560000000000366</v>
      </c>
      <c r="I52" s="27">
        <f ca="1">$E52*Perfomance!$B$10</f>
        <v>806.50533333333249</v>
      </c>
      <c r="J52" s="25">
        <f t="shared" ca="1" si="3"/>
        <v>5.7742504918895883E-2</v>
      </c>
      <c r="K52" s="28" t="e">
        <f ca="1">IF($E52&lt;=Perfomance!$B$5,Calculation!$D52,#N/A)</f>
        <v>#N/A</v>
      </c>
      <c r="L52" s="28" t="e">
        <f ca="1">IF($E52&lt;=Perfomance!$B$5,Calculation!$F52,#N/A)</f>
        <v>#N/A</v>
      </c>
      <c r="M52" s="28" t="e">
        <f ca="1">IF($E52&lt;=Perfomance!$B$5,Calculation!$H52,#N/A)</f>
        <v>#N/A</v>
      </c>
      <c r="N52" s="28" t="e">
        <f ca="1">IF($E52&lt;=Perfomance!$B$5,Calculation!$J52,#N/A)</f>
        <v>#N/A</v>
      </c>
    </row>
    <row r="53" spans="1:14" x14ac:dyDescent="0.2">
      <c r="A53" s="24">
        <f ca="1">A52+Perfomance!$D$10/50</f>
        <v>0.42785599999999957</v>
      </c>
      <c r="B53" s="25">
        <f ca="1">ROUND(A53/Perfomance!$D$10,2)</f>
        <v>0.96</v>
      </c>
      <c r="C53" s="26">
        <f ca="1">-(Perfomance!$C$10/Perfomance!$D$10)*$A53+Perfomance!$C$10</f>
        <v>707.66666666668243</v>
      </c>
      <c r="D53" s="25">
        <f ca="1">$C53/Perfomance!$C$10</f>
        <v>4.0000000000000896E-2</v>
      </c>
      <c r="E53" s="27">
        <f ca="1">(Perfomance!$E$10-Perfomance!$F$10)/Perfomance!$D$10*$A53+Perfomance!$F$10</f>
        <v>74.851333333333258</v>
      </c>
      <c r="F53" s="25">
        <f ca="1">$E53/Perfomance!$E$10</f>
        <v>0.9606588235294109</v>
      </c>
      <c r="G53" s="27">
        <f t="shared" ca="1" si="2"/>
        <v>31.706987695057666</v>
      </c>
      <c r="H53" s="25">
        <f ca="1">$G53/Perfomance!$G$10</f>
        <v>0.15360000000000326</v>
      </c>
      <c r="I53" s="27">
        <f ca="1">$E53*Perfomance!$B$10</f>
        <v>823.36466666666581</v>
      </c>
      <c r="J53" s="25">
        <f t="shared" ca="1" si="3"/>
        <v>3.8509045844074392E-2</v>
      </c>
      <c r="K53" s="28" t="e">
        <f ca="1">IF($E53&lt;=Perfomance!$B$5,Calculation!$D53,#N/A)</f>
        <v>#N/A</v>
      </c>
      <c r="L53" s="28" t="e">
        <f ca="1">IF($E53&lt;=Perfomance!$B$5,Calculation!$F53,#N/A)</f>
        <v>#N/A</v>
      </c>
      <c r="M53" s="28" t="e">
        <f ca="1">IF($E53&lt;=Perfomance!$B$5,Calculation!$H53,#N/A)</f>
        <v>#N/A</v>
      </c>
      <c r="N53" s="28" t="e">
        <f ca="1">IF($E53&lt;=Perfomance!$B$5,Calculation!$J53,#N/A)</f>
        <v>#N/A</v>
      </c>
    </row>
    <row r="54" spans="1:14" x14ac:dyDescent="0.2">
      <c r="A54" s="24">
        <f ca="1">A53+Perfomance!$D$10/50</f>
        <v>0.43676966666666622</v>
      </c>
      <c r="B54" s="25">
        <f ca="1">ROUND(A54/Perfomance!$D$10,2)</f>
        <v>0.98</v>
      </c>
      <c r="C54" s="26">
        <f ca="1">-(Perfomance!$C$10/Perfomance!$D$10)*$A54+Perfomance!$C$10</f>
        <v>353.83333333335031</v>
      </c>
      <c r="D54" s="25">
        <f ca="1">$C54/Perfomance!$C$10</f>
        <v>2.0000000000000961E-2</v>
      </c>
      <c r="E54" s="27">
        <f ca="1">(Perfomance!$E$10-Perfomance!$F$10)/Perfomance!$D$10*$A54+Perfomance!$F$10</f>
        <v>76.383999999999915</v>
      </c>
      <c r="F54" s="25">
        <f ca="1">$E54/Perfomance!$E$10</f>
        <v>0.98032941176470489</v>
      </c>
      <c r="G54" s="27">
        <f t="shared" ca="1" si="2"/>
        <v>16.183774969352768</v>
      </c>
      <c r="H54" s="25">
        <f ca="1">$G54/Perfomance!$G$10</f>
        <v>7.8400000000003689E-2</v>
      </c>
      <c r="I54" s="27">
        <f ca="1">$E54*Perfomance!$B$10</f>
        <v>840.22399999999902</v>
      </c>
      <c r="J54" s="25">
        <f t="shared" ca="1" si="3"/>
        <v>1.9261262436389329E-2</v>
      </c>
      <c r="K54" s="28" t="e">
        <f ca="1">IF($E54&lt;=Perfomance!$B$5,Calculation!$D54,#N/A)</f>
        <v>#N/A</v>
      </c>
      <c r="L54" s="28" t="e">
        <f ca="1">IF($E54&lt;=Perfomance!$B$5,Calculation!$F54,#N/A)</f>
        <v>#N/A</v>
      </c>
      <c r="M54" s="28" t="e">
        <f ca="1">IF($E54&lt;=Perfomance!$B$5,Calculation!$H54,#N/A)</f>
        <v>#N/A</v>
      </c>
      <c r="N54" s="28" t="e">
        <f ca="1">IF($E54&lt;=Perfomance!$B$5,Calculation!$J54,#N/A)</f>
        <v>#N/A</v>
      </c>
    </row>
    <row r="55" spans="1:14" x14ac:dyDescent="0.2">
      <c r="A55" s="24">
        <f ca="1">A54+Perfomance!$D$10/50</f>
        <v>0.44568333333333288</v>
      </c>
      <c r="B55" s="25">
        <f ca="1">ROUND(A55/Perfomance!$D$10,2)</f>
        <v>1</v>
      </c>
      <c r="C55" s="26">
        <f ca="1">-(Perfomance!$C$10/Perfomance!$D$10)*$A55+Perfomance!$C$10</f>
        <v>0</v>
      </c>
      <c r="D55" s="25">
        <f ca="1">$C55/Perfomance!$C$10</f>
        <v>0</v>
      </c>
      <c r="E55" s="27">
        <f ca="1">(Perfomance!$E$10-Perfomance!$F$10)/Perfomance!$D$10*$A55+Perfomance!$F$10</f>
        <v>77.916666666666586</v>
      </c>
      <c r="F55" s="25">
        <f ca="1">$E55/Perfomance!$E$10</f>
        <v>0.99999999999999911</v>
      </c>
      <c r="G55" s="27">
        <f t="shared" ca="1" si="2"/>
        <v>0</v>
      </c>
      <c r="H55" s="25">
        <f ca="1">$G55/Perfomance!$G$10</f>
        <v>0</v>
      </c>
      <c r="I55" s="27">
        <f ca="1">$E55*Perfomance!$B$10</f>
        <v>857.08333333333246</v>
      </c>
      <c r="J55" s="25">
        <f t="shared" ca="1" si="3"/>
        <v>0</v>
      </c>
      <c r="K55" s="28" t="e">
        <f ca="1">IF($E55&lt;=Perfomance!$B$5,Calculation!$D55,#N/A)</f>
        <v>#N/A</v>
      </c>
      <c r="L55" s="28" t="e">
        <f ca="1">IF($E55&lt;=Perfomance!$B$5,Calculation!$F55,#N/A)</f>
        <v>#N/A</v>
      </c>
      <c r="M55" s="28" t="e">
        <f ca="1">IF($E55&lt;=Perfomance!$B$5,Calculation!$H55,#N/A)</f>
        <v>#N/A</v>
      </c>
      <c r="N55" s="28" t="e">
        <f ca="1">IF($E55&lt;=Perfomance!$B$5,Calculation!$J55,#N/A)</f>
        <v>#N/A</v>
      </c>
    </row>
  </sheetData>
  <phoneticPr fontId="0" type="noConversion"/>
  <conditionalFormatting sqref="K5:N55">
    <cfRule type="expression" dxfId="6" priority="3" stopIfTrue="1">
      <formula>ISERROR(K5)</formula>
    </cfRule>
  </conditionalFormatting>
  <pageMargins left="0.25" right="0.25" top="0.25" bottom="0.25" header="0.5" footer="0.5"/>
  <pageSetup orientation="portrait" r:id="rId1"/>
  <headerFooter alignWithMargins="0"/>
  <ignoredErrors>
    <ignoredError sqref="K42" evalError="1"/>
  </ignoredError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indexed="11"/>
  </sheetPr>
  <dimension ref="A1:Q38"/>
  <sheetViews>
    <sheetView showGridLines="0" tabSelected="1" workbookViewId="0">
      <selection activeCell="C9" sqref="C9"/>
    </sheetView>
  </sheetViews>
  <sheetFormatPr defaultColWidth="8.85546875" defaultRowHeight="11.25" x14ac:dyDescent="0.2"/>
  <cols>
    <col min="1" max="1" width="18.140625" style="41" customWidth="1"/>
    <col min="2" max="7" width="9.7109375" style="41" customWidth="1"/>
    <col min="8" max="9" width="1.7109375" style="41" customWidth="1"/>
    <col min="10" max="10" width="20.28515625" style="41" bestFit="1" customWidth="1"/>
    <col min="11" max="14" width="7.85546875" style="41" customWidth="1"/>
    <col min="15" max="16" width="2.5703125" style="41" customWidth="1"/>
    <col min="17" max="17" width="35.5703125" style="41" customWidth="1"/>
    <col min="18" max="16384" width="8.85546875" style="41"/>
  </cols>
  <sheetData>
    <row r="1" spans="1:17" ht="15.75" x14ac:dyDescent="0.25">
      <c r="A1" s="61" t="s">
        <v>95</v>
      </c>
      <c r="B1" s="39"/>
      <c r="C1" s="39"/>
      <c r="D1" s="39"/>
      <c r="E1" s="39"/>
      <c r="F1" s="39"/>
      <c r="G1" s="39"/>
      <c r="H1" s="39"/>
      <c r="I1" s="80"/>
      <c r="J1" s="39"/>
      <c r="K1" s="39"/>
      <c r="L1" s="39"/>
      <c r="M1" s="39"/>
      <c r="N1" s="39"/>
      <c r="Q1" s="151" t="s">
        <v>121</v>
      </c>
    </row>
    <row r="2" spans="1:17" ht="12.75" x14ac:dyDescent="0.2">
      <c r="A2" s="90" t="s">
        <v>106</v>
      </c>
      <c r="B2" s="90"/>
      <c r="C2" s="90"/>
      <c r="D2" s="90"/>
      <c r="E2" s="90"/>
      <c r="F2" s="90"/>
      <c r="G2" s="91"/>
      <c r="H2" s="90"/>
      <c r="I2" s="92"/>
      <c r="J2" s="90"/>
      <c r="K2" s="90"/>
      <c r="L2" s="90"/>
      <c r="M2" s="90"/>
      <c r="N2" s="93" t="s">
        <v>94</v>
      </c>
      <c r="Q2" s="151"/>
    </row>
    <row r="3" spans="1:17" ht="15" customHeight="1" x14ac:dyDescent="0.2">
      <c r="I3" s="81"/>
      <c r="Q3" s="152" t="s">
        <v>130</v>
      </c>
    </row>
    <row r="4" spans="1:17" ht="15" customHeight="1" thickBot="1" x14ac:dyDescent="0.25">
      <c r="A4" s="42" t="s">
        <v>8</v>
      </c>
      <c r="B4" s="155" t="s">
        <v>141</v>
      </c>
      <c r="C4" s="155"/>
      <c r="D4" s="155"/>
      <c r="E4" s="155"/>
      <c r="F4" s="155"/>
      <c r="G4" s="155"/>
      <c r="I4" s="81"/>
      <c r="J4" s="62" t="s">
        <v>96</v>
      </c>
      <c r="K4" s="154" t="s">
        <v>142</v>
      </c>
      <c r="L4" s="154"/>
      <c r="M4" s="154"/>
      <c r="N4" s="154"/>
      <c r="Q4" s="152"/>
    </row>
    <row r="5" spans="1:17" ht="15" customHeight="1" thickTop="1" x14ac:dyDescent="0.2">
      <c r="A5" s="42" t="s">
        <v>36</v>
      </c>
      <c r="B5" s="43">
        <v>40</v>
      </c>
      <c r="C5" s="44" t="s">
        <v>37</v>
      </c>
      <c r="D5" s="44"/>
      <c r="E5" s="44"/>
      <c r="F5" s="44"/>
      <c r="G5" s="44"/>
      <c r="I5" s="81"/>
      <c r="Q5" s="132"/>
    </row>
    <row r="6" spans="1:17" ht="15" customHeight="1" x14ac:dyDescent="0.2">
      <c r="A6" s="40"/>
      <c r="B6" s="45"/>
      <c r="C6" s="45"/>
      <c r="D6" s="45"/>
      <c r="E6" s="45"/>
      <c r="F6" s="40"/>
      <c r="G6" s="40"/>
      <c r="I6" s="81"/>
      <c r="J6" s="64" t="s">
        <v>62</v>
      </c>
      <c r="K6" s="65">
        <v>0.9</v>
      </c>
    </row>
    <row r="7" spans="1:17" ht="15" customHeight="1" x14ac:dyDescent="0.2">
      <c r="A7" s="40"/>
      <c r="B7" s="146" t="s">
        <v>28</v>
      </c>
      <c r="C7" s="146" t="s">
        <v>2</v>
      </c>
      <c r="D7" s="146" t="s">
        <v>3</v>
      </c>
      <c r="E7" s="146" t="s">
        <v>4</v>
      </c>
      <c r="F7" s="146" t="s">
        <v>5</v>
      </c>
      <c r="G7" s="146" t="s">
        <v>35</v>
      </c>
      <c r="I7" s="81"/>
      <c r="J7" s="64" t="s">
        <v>42</v>
      </c>
      <c r="K7" s="130">
        <v>12750</v>
      </c>
      <c r="L7" s="67" t="s">
        <v>45</v>
      </c>
      <c r="M7" s="68">
        <f>K7*VLOOKUP(L7,Formulas!$D$7:$E$9,2,FALSE)</f>
        <v>222.52947962927701</v>
      </c>
      <c r="N7" s="69" t="s">
        <v>46</v>
      </c>
    </row>
    <row r="8" spans="1:17" ht="15" customHeight="1" x14ac:dyDescent="0.2">
      <c r="B8" s="146"/>
      <c r="C8" s="146"/>
      <c r="D8" s="146"/>
      <c r="E8" s="146"/>
      <c r="F8" s="146"/>
      <c r="G8" s="146"/>
      <c r="I8" s="81"/>
      <c r="J8" s="64" t="s">
        <v>43</v>
      </c>
      <c r="K8" s="66">
        <v>0.25</v>
      </c>
      <c r="L8" s="67" t="s">
        <v>49</v>
      </c>
      <c r="M8" s="68">
        <f>K8*VLOOKUP(L8,Formulas!$G$7:$H$10,2,FALSE)</f>
        <v>2.82462097E-2</v>
      </c>
      <c r="N8" s="69" t="s">
        <v>51</v>
      </c>
    </row>
    <row r="9" spans="1:17" ht="15" customHeight="1" x14ac:dyDescent="0.2">
      <c r="A9" s="46" t="s">
        <v>30</v>
      </c>
      <c r="B9" s="47">
        <f ca="1">VLOOKUP($B4,T_MotorSpecs,4,FALSE)</f>
        <v>12</v>
      </c>
      <c r="C9" s="48">
        <f ca="1">VLOOKUP($B4,T_MotorSpecs,5,FALSE)</f>
        <v>19300</v>
      </c>
      <c r="D9" s="49">
        <f ca="1">VLOOKUP($B4,T_MotorSpecs,6,FALSE)</f>
        <v>0.48620000000000002</v>
      </c>
      <c r="E9" s="50">
        <f ca="1">VLOOKUP($B4,T_MotorSpecs,7,FALSE)</f>
        <v>85</v>
      </c>
      <c r="F9" s="49">
        <f ca="1">VLOOKUP($B4,T_MotorSpecs,8,FALSE)</f>
        <v>1.4</v>
      </c>
      <c r="G9" s="50">
        <f ca="1">(C9*D9/4)*(2*PI()/60)</f>
        <v>245.66364433153663</v>
      </c>
      <c r="I9" s="81"/>
      <c r="J9" s="70" t="s">
        <v>70</v>
      </c>
      <c r="M9" s="68">
        <f>$M$7*$M$8</f>
        <v>6.285614346040437</v>
      </c>
      <c r="N9" s="69" t="s">
        <v>54</v>
      </c>
    </row>
    <row r="10" spans="1:17" ht="15" customHeight="1" x14ac:dyDescent="0.2">
      <c r="A10" s="46" t="s">
        <v>92</v>
      </c>
      <c r="B10" s="43">
        <v>11</v>
      </c>
      <c r="C10" s="48">
        <f ca="1">$B$10/$B$9*C9</f>
        <v>17691.666666666664</v>
      </c>
      <c r="D10" s="49">
        <f ca="1">$B$10/$B$9*D9</f>
        <v>0.44568333333333332</v>
      </c>
      <c r="E10" s="50">
        <f ca="1">$B$10/$B$9*E9</f>
        <v>77.916666666666657</v>
      </c>
      <c r="F10" s="49">
        <f ca="1">$B$10/$B$9*F9</f>
        <v>1.2833333333333332</v>
      </c>
      <c r="G10" s="50">
        <f ca="1">(C10*D10/4)*(2*PI()/60)</f>
        <v>206.42570113969396</v>
      </c>
      <c r="I10" s="81"/>
    </row>
    <row r="11" spans="1:17" ht="15" customHeight="1" thickBot="1" x14ac:dyDescent="0.25">
      <c r="I11" s="81"/>
      <c r="J11" s="62" t="s">
        <v>55</v>
      </c>
      <c r="K11" s="63"/>
      <c r="L11" s="63"/>
      <c r="M11" s="63"/>
      <c r="N11" s="63"/>
    </row>
    <row r="12" spans="1:17" ht="15" customHeight="1" thickTop="1" x14ac:dyDescent="0.2">
      <c r="C12" s="146" t="s">
        <v>21</v>
      </c>
      <c r="D12" s="146" t="s">
        <v>22</v>
      </c>
      <c r="E12" s="146" t="s">
        <v>23</v>
      </c>
      <c r="F12" s="146" t="s">
        <v>24</v>
      </c>
      <c r="G12" s="146" t="s">
        <v>25</v>
      </c>
      <c r="I12" s="81"/>
      <c r="Q12" s="156" t="s">
        <v>132</v>
      </c>
    </row>
    <row r="13" spans="1:17" ht="15" customHeight="1" x14ac:dyDescent="0.2">
      <c r="C13" s="146"/>
      <c r="D13" s="146"/>
      <c r="E13" s="146"/>
      <c r="F13" s="146"/>
      <c r="G13" s="146"/>
      <c r="I13" s="81"/>
      <c r="J13" s="42" t="s">
        <v>60</v>
      </c>
      <c r="K13" s="71">
        <v>1</v>
      </c>
      <c r="L13" s="44"/>
      <c r="N13" s="131"/>
      <c r="Q13" s="156"/>
    </row>
    <row r="14" spans="1:17" ht="15" customHeight="1" x14ac:dyDescent="0.2">
      <c r="A14" s="150" t="s">
        <v>72</v>
      </c>
      <c r="B14" s="150"/>
      <c r="C14" s="108">
        <f ca="1">IF($B$5&lt;$E$10,(Perfomance!B5-Perfomance!F10)*(Perfomance!D10/(Perfomance!E10-Perfomance!F10)),"n/a")</f>
        <v>0.22516798245614036</v>
      </c>
      <c r="D14" s="109">
        <f ca="1">IF($B$5&lt;$E$10,-(Perfomance!$C$10/Perfomance!$D$10)*Perfomance!C14+Perfomance!$C$10,"n/a")</f>
        <v>8753.4888357256768</v>
      </c>
      <c r="E14" s="109">
        <f ca="1">IF($B$5&lt;$E$10,$B$5,"n/a")</f>
        <v>40</v>
      </c>
      <c r="F14" s="109">
        <f ca="1">IF($B$5&lt;$E$10,Perfomance!D14*PI()/30*Perfomance!C14,"n/a")</f>
        <v>206.40320498398955</v>
      </c>
      <c r="G14" s="110">
        <f ca="1">IF($B$5&lt;$E$10,$F14/($E14*$B$10),"n/a")</f>
        <v>0.46909819314543083</v>
      </c>
      <c r="I14" s="81"/>
      <c r="J14" s="42" t="s">
        <v>58</v>
      </c>
      <c r="K14" s="72">
        <v>0.7</v>
      </c>
      <c r="L14" s="72">
        <v>0.67300000000000004</v>
      </c>
      <c r="N14" s="44"/>
      <c r="Q14" s="152" t="s">
        <v>131</v>
      </c>
    </row>
    <row r="15" spans="1:17" ht="15" customHeight="1" x14ac:dyDescent="0.2">
      <c r="A15" s="149" t="s">
        <v>29</v>
      </c>
      <c r="B15" s="149"/>
      <c r="C15" s="52"/>
      <c r="D15" s="53"/>
      <c r="E15" s="53"/>
      <c r="F15" s="53"/>
      <c r="G15" s="54"/>
      <c r="I15" s="81"/>
      <c r="J15" s="42" t="s">
        <v>59</v>
      </c>
      <c r="K15" s="71">
        <v>1</v>
      </c>
      <c r="L15" s="71">
        <v>0</v>
      </c>
      <c r="N15" s="41" t="s">
        <v>134</v>
      </c>
      <c r="Q15" s="152"/>
    </row>
    <row r="16" spans="1:17" ht="15" customHeight="1" x14ac:dyDescent="0.2">
      <c r="A16" s="149" t="s">
        <v>93</v>
      </c>
      <c r="B16" s="149"/>
      <c r="C16" s="49">
        <f ca="1">$C$17*$D$10</f>
        <v>0.22284166666666666</v>
      </c>
      <c r="D16" s="105">
        <f ca="1">-(Perfomance!$C$10/Perfomance!$D$10)*Perfomance!C16+Perfomance!$C$10</f>
        <v>8845.8333333333321</v>
      </c>
      <c r="E16" s="106">
        <f ca="1">($E$10-$F$10)/$D$10*$C16+$F$10</f>
        <v>39.599999999999994</v>
      </c>
      <c r="F16" s="105">
        <f ca="1">Perfomance!D16*PI()/30*Perfomance!C16</f>
        <v>206.42570113969396</v>
      </c>
      <c r="G16" s="107">
        <f ca="1">$F16/($E16*$B$10)</f>
        <v>0.47388820280003213</v>
      </c>
      <c r="I16" s="81"/>
      <c r="J16" s="73" t="s">
        <v>105</v>
      </c>
      <c r="K16" s="74">
        <f>$K$14^$K$15*$L$14^$L$15</f>
        <v>0.7</v>
      </c>
      <c r="L16" s="44"/>
    </row>
    <row r="17" spans="1:17" ht="15" customHeight="1" x14ac:dyDescent="0.2">
      <c r="A17" s="149" t="s">
        <v>34</v>
      </c>
      <c r="B17" s="149"/>
      <c r="C17" s="51">
        <f>C21/100</f>
        <v>0.5</v>
      </c>
      <c r="D17" s="51">
        <f ca="1">D16/C10</f>
        <v>0.5</v>
      </c>
      <c r="E17" s="51">
        <f ca="1">E16/E10</f>
        <v>0.50823529411764701</v>
      </c>
      <c r="F17" s="51">
        <f ca="1">F16/G10</f>
        <v>1</v>
      </c>
      <c r="G17" s="51">
        <f ca="1">G16</f>
        <v>0.47388820280003213</v>
      </c>
      <c r="I17" s="81"/>
      <c r="J17" s="73" t="s">
        <v>115</v>
      </c>
      <c r="K17" s="94">
        <f>$M$9/$K$16</f>
        <v>8.9794490657720534</v>
      </c>
      <c r="L17" s="41" t="s">
        <v>54</v>
      </c>
    </row>
    <row r="18" spans="1:17" ht="15" customHeight="1" x14ac:dyDescent="0.2">
      <c r="I18" s="81"/>
      <c r="J18" s="73" t="s">
        <v>56</v>
      </c>
      <c r="K18" s="94">
        <f>K17/K13</f>
        <v>8.9794490657720534</v>
      </c>
      <c r="L18" s="41" t="s">
        <v>54</v>
      </c>
    </row>
    <row r="19" spans="1:17" ht="15" customHeight="1" x14ac:dyDescent="0.2">
      <c r="A19" s="40"/>
      <c r="C19" s="55"/>
      <c r="D19" s="55"/>
      <c r="I19" s="81"/>
      <c r="J19" s="73" t="s">
        <v>107</v>
      </c>
      <c r="K19" s="94">
        <f ca="1">$K$13*IF($C$14&gt;$D$10/2,$G$10,$F$14)</f>
        <v>206.42570113969396</v>
      </c>
      <c r="L19" s="41" t="s">
        <v>54</v>
      </c>
      <c r="Q19" s="153" t="s">
        <v>122</v>
      </c>
    </row>
    <row r="20" spans="1:17" ht="15" customHeight="1" x14ac:dyDescent="0.2">
      <c r="C20" s="56" t="s">
        <v>27</v>
      </c>
      <c r="D20" s="56" t="s">
        <v>20</v>
      </c>
      <c r="I20" s="81"/>
      <c r="J20" s="75" t="s">
        <v>98</v>
      </c>
      <c r="K20" s="94">
        <f ca="1">$K$19*$K$16</f>
        <v>144.49799079778575</v>
      </c>
      <c r="L20" s="76" t="s">
        <v>54</v>
      </c>
      <c r="M20" s="77" t="str">
        <f ca="1">IF(K20&gt;$M$9,"","Need more power!")</f>
        <v/>
      </c>
      <c r="N20" s="77"/>
      <c r="Q20" s="153"/>
    </row>
    <row r="21" spans="1:17" ht="15" customHeight="1" x14ac:dyDescent="0.2">
      <c r="B21" s="57" t="s">
        <v>33</v>
      </c>
      <c r="C21" s="58">
        <v>50</v>
      </c>
      <c r="D21" s="59"/>
      <c r="I21" s="81"/>
      <c r="J21" s="73" t="s">
        <v>61</v>
      </c>
      <c r="K21" s="78">
        <f ca="1">1-(IF($C$14&gt;$D$10/2,$G$10,$F$14)-$K$18)/IF($C$14&gt;$D$10/2,$G$10,$F$14)</f>
        <v>4.3499666059971021E-2</v>
      </c>
      <c r="M21" s="79" t="str">
        <f ca="1">IF(K21&gt;K6,"Above preference!","")</f>
        <v/>
      </c>
      <c r="N21" s="79"/>
      <c r="Q21" s="147" t="s">
        <v>123</v>
      </c>
    </row>
    <row r="22" spans="1:17" ht="15" customHeight="1" x14ac:dyDescent="0.2">
      <c r="B22" s="57" t="s">
        <v>103</v>
      </c>
      <c r="C22" s="60">
        <f>$C$21/100</f>
        <v>0.5</v>
      </c>
      <c r="D22" s="60">
        <v>0</v>
      </c>
      <c r="I22" s="81"/>
      <c r="J22" s="73" t="s">
        <v>57</v>
      </c>
      <c r="K22" s="94">
        <f>($M$8/$K$13)/$K$16</f>
        <v>4.0351728142857146E-2</v>
      </c>
      <c r="L22" s="41" t="s">
        <v>51</v>
      </c>
      <c r="Q22" s="148"/>
    </row>
    <row r="23" spans="1:17" ht="15" customHeight="1" x14ac:dyDescent="0.2">
      <c r="B23" s="57" t="s">
        <v>104</v>
      </c>
      <c r="C23" s="60">
        <f>$C$21/100</f>
        <v>0.5</v>
      </c>
      <c r="D23" s="60">
        <v>1</v>
      </c>
      <c r="I23" s="81"/>
      <c r="J23" s="73" t="s">
        <v>69</v>
      </c>
      <c r="K23" s="94">
        <f ca="1">Perfomance!$C$10*PI()/30</f>
        <v>1852.6670009919806</v>
      </c>
      <c r="L23" s="41" t="s">
        <v>46</v>
      </c>
    </row>
    <row r="24" spans="1:17" ht="15" customHeight="1" x14ac:dyDescent="0.2">
      <c r="B24" s="57" t="s">
        <v>40</v>
      </c>
      <c r="C24" s="104">
        <f ca="1">IF($C$14="n/a",#N/A,$C$14/$D$10)</f>
        <v>0.50521966072205315</v>
      </c>
      <c r="D24" s="60">
        <v>0</v>
      </c>
      <c r="I24" s="81"/>
    </row>
    <row r="25" spans="1:17" ht="15" customHeight="1" thickBot="1" x14ac:dyDescent="0.25">
      <c r="B25" s="57" t="s">
        <v>41</v>
      </c>
      <c r="C25" s="104">
        <f ca="1">C24</f>
        <v>0.50521966072205315</v>
      </c>
      <c r="D25" s="60">
        <v>1</v>
      </c>
      <c r="I25" s="81"/>
      <c r="J25" s="62" t="s">
        <v>100</v>
      </c>
      <c r="K25" s="63"/>
      <c r="L25" s="63"/>
      <c r="M25" s="63"/>
      <c r="N25" s="63"/>
    </row>
    <row r="26" spans="1:17" ht="15" customHeight="1" thickTop="1" x14ac:dyDescent="0.2">
      <c r="B26" s="57" t="s">
        <v>38</v>
      </c>
      <c r="C26" s="104">
        <f ca="1">IF($K$20&lt;$M$9,#N/A,Torque/$D$10)</f>
        <v>1.0995824675282297E-2</v>
      </c>
      <c r="D26" s="60">
        <v>0</v>
      </c>
      <c r="I26" s="81"/>
    </row>
    <row r="27" spans="1:17" ht="30" customHeight="1" x14ac:dyDescent="0.2">
      <c r="B27" s="57" t="s">
        <v>39</v>
      </c>
      <c r="C27" s="104">
        <f ca="1">C26</f>
        <v>1.0995824675282297E-2</v>
      </c>
      <c r="D27" s="60">
        <v>1</v>
      </c>
      <c r="I27" s="81"/>
      <c r="J27" s="95" t="s">
        <v>43</v>
      </c>
      <c r="K27" s="97">
        <f ca="1">IF($K$20&lt;$M$9,"n/a",(-V_QuadB+(V_QuadB^2-4*V_QuadA*V_QuadC)^0.5)/(2*V_QuadA))</f>
        <v>4.9006557940287311E-3</v>
      </c>
      <c r="L27" s="98" t="s">
        <v>51</v>
      </c>
    </row>
    <row r="28" spans="1:17" ht="30" customHeight="1" x14ac:dyDescent="0.2">
      <c r="I28" s="81"/>
      <c r="J28" s="95" t="s">
        <v>42</v>
      </c>
      <c r="K28" s="100">
        <f ca="1">IF($K$20&lt;$M$9,"n/a",(V_QuadA*$K$27+V_QuadB)*30/PI())</f>
        <v>17497.132201786462</v>
      </c>
      <c r="L28" s="98" t="s">
        <v>44</v>
      </c>
    </row>
    <row r="29" spans="1:17" ht="30" customHeight="1" x14ac:dyDescent="0.2">
      <c r="I29" s="81"/>
      <c r="J29" s="95" t="s">
        <v>101</v>
      </c>
      <c r="K29" s="101">
        <f ca="1">IF($K$20&lt;$M$9,"n/a",($E$10-$F$10)/$D$10*Torque+$F$10)</f>
        <v>2.1259800309491332</v>
      </c>
      <c r="L29" s="99" t="s">
        <v>37</v>
      </c>
    </row>
    <row r="30" spans="1:17" ht="30" customHeight="1" x14ac:dyDescent="0.2">
      <c r="I30" s="81"/>
      <c r="J30" s="95" t="s">
        <v>73</v>
      </c>
      <c r="K30" s="101">
        <f ca="1">IF($K$20&lt;$M$9,"n/a",$K$18)</f>
        <v>8.9794490657720534</v>
      </c>
      <c r="L30" s="99" t="s">
        <v>54</v>
      </c>
    </row>
    <row r="31" spans="1:17" ht="30" customHeight="1" x14ac:dyDescent="0.2">
      <c r="I31" s="81"/>
      <c r="J31" s="95" t="s">
        <v>102</v>
      </c>
      <c r="K31" s="102">
        <f ca="1">IF($K$20&lt;$M$9,"n/a",Power/($K$29*$B$10))</f>
        <v>0.38397046987754813</v>
      </c>
      <c r="L31" s="99" t="s">
        <v>20</v>
      </c>
    </row>
    <row r="32" spans="1:17" ht="30" customHeight="1" x14ac:dyDescent="0.2">
      <c r="G32" s="55"/>
      <c r="I32" s="81"/>
      <c r="J32" s="103" t="s">
        <v>97</v>
      </c>
      <c r="K32" s="96">
        <f ca="1">IF($K$20&lt;$M$9,"n/a",$K$22/$K$27)</f>
        <v>8.2339445655465635</v>
      </c>
      <c r="L32" s="98" t="s">
        <v>99</v>
      </c>
    </row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</sheetData>
  <scenarios current="1" sqref="K27:K32">
    <scenario name="2010 FRC Direct Drive Kicker" locked="1" count="14" user="ajk" comment="Created on 3/1/2010 10:44:40 PM">
      <inputCells r="K4" val="2010 FRC Kicker with Wedge Cam"/>
      <inputCells r="B4" val="Fisher Price (PN 00968-9015) &lt;183.8W&gt;"/>
      <inputCells r="B5" val="40"/>
      <inputCells r="B10" val="12"/>
      <inputCells r="K6" val="0.75"/>
      <inputCells r="K7" val="45"/>
      <inputCells r="L7" val="°/sec"/>
      <inputCells r="K8" val="2000"/>
      <inputCells r="L8" val="in-lbs"/>
      <inputCells r="K13" val="2"/>
      <inputCells r="K14" val="0.95"/>
      <inputCells r="K15" val="3"/>
      <inputCells r="L14" val="0.673"/>
      <inputCells r="L15" val="1"/>
    </scenario>
    <scenario name="2010.01.30 FRC Kicker Final Design" locked="1" count="14" user="ajk" comment="Created on 3/1/2010 10:46:30 PM">
      <inputCells r="K4" val="2010 FRC Kicker with Wedge Cam"/>
      <inputCells r="B4" val="Fisher Price (PN 00968-9015) &lt;183.8W&gt;"/>
      <inputCells r="B5" val="40"/>
      <inputCells r="B10" val="11"/>
      <inputCells r="K6" val="0.75"/>
      <inputCells r="K7" val="22.5936794834453"/>
      <inputCells r="L7" val="°/sec"/>
      <inputCells r="K8" val="3000"/>
      <inputCells r="L8" val="in-lbs"/>
      <inputCells r="K13" val="2"/>
      <inputCells r="K14" val="0.95"/>
      <inputCells r="K15" val="3"/>
      <inputCells r="L14" val="0.673"/>
      <inputCells r="L15" val="1"/>
    </scenario>
    <scenario name="2010.01.30 FRC Kicker with 4&quot; wedge" locked="1" count="14" user="ajk" comment="Created on 3/1/2010 10:48:52 PM">
      <inputCells r="K4" val="2010 FRC Kicker with Wedge Cam"/>
      <inputCells r="B4" val="Fisher Price (PN 00968-9015) &lt;183.8W&gt;"/>
      <inputCells r="B5" val="40"/>
      <inputCells r="B10" val="11"/>
      <inputCells r="K6" val="0.75"/>
      <inputCells r="K7" val="90.4"/>
      <inputCells r="L7" val="°/sec"/>
      <inputCells r="K8" val="750"/>
      <inputCells r="L8" val="in-lbs"/>
      <inputCells r="K13" val="2"/>
      <inputCells r="K14" val="0.95"/>
      <inputCells r="K15" val="3"/>
      <inputCells r="L14" val="0.673"/>
      <inputCells r="L15" val="1"/>
    </scenario>
    <scenario name="2010.01.30 FRC Kicker 8&quot; Wedge" locked="1" count="14" user="ajk" comment="Created on 3/1/2010 10:50:14 PM">
      <inputCells r="K4" val="2010 FRC Kicker with Wedge Cam"/>
      <inputCells r="B4" val="Fisher Price (PN 00968-9015) &lt;183.8W&gt;"/>
      <inputCells r="B5" val="40"/>
      <inputCells r="B10" val="11"/>
      <inputCells r="K6" val="0.75"/>
      <inputCells r="K7" val="180.749435867562"/>
      <inputCells r="L7" val="°/sec"/>
      <inputCells r="K8" val="375"/>
      <inputCells r="L8" val="in-lbs"/>
      <inputCells r="K13" val="2"/>
      <inputCells r="K14" val="0.95"/>
      <inputCells r="K15" val="3"/>
      <inputCells r="L14" val="0.673"/>
      <inputCells r="L15" val="1"/>
    </scenario>
  </scenarios>
  <dataConsolidate/>
  <mergeCells count="23">
    <mergeCell ref="Q1:Q2"/>
    <mergeCell ref="Q3:Q4"/>
    <mergeCell ref="Q19:Q20"/>
    <mergeCell ref="K4:N4"/>
    <mergeCell ref="B4:G4"/>
    <mergeCell ref="Q12:Q13"/>
    <mergeCell ref="Q14:Q15"/>
    <mergeCell ref="B7:B8"/>
    <mergeCell ref="G12:G13"/>
    <mergeCell ref="F12:F13"/>
    <mergeCell ref="E12:E13"/>
    <mergeCell ref="D12:D13"/>
    <mergeCell ref="C12:C13"/>
    <mergeCell ref="G7:G8"/>
    <mergeCell ref="F7:F8"/>
    <mergeCell ref="E7:E8"/>
    <mergeCell ref="D7:D8"/>
    <mergeCell ref="C7:C8"/>
    <mergeCell ref="Q21:Q22"/>
    <mergeCell ref="A17:B17"/>
    <mergeCell ref="A16:B16"/>
    <mergeCell ref="A15:B15"/>
    <mergeCell ref="A14:B14"/>
  </mergeCells>
  <phoneticPr fontId="0" type="noConversion"/>
  <conditionalFormatting sqref="E16:E17">
    <cfRule type="expression" dxfId="5" priority="8" stopIfTrue="1">
      <formula>$E$16&gt;$B$5</formula>
    </cfRule>
  </conditionalFormatting>
  <conditionalFormatting sqref="J21">
    <cfRule type="expression" dxfId="4" priority="4" stopIfTrue="1">
      <formula>$K21&gt;$K$6</formula>
    </cfRule>
  </conditionalFormatting>
  <conditionalFormatting sqref="J20">
    <cfRule type="expression" dxfId="3" priority="12" stopIfTrue="1">
      <formula>$K20&lt;$M$9</formula>
    </cfRule>
  </conditionalFormatting>
  <conditionalFormatting sqref="K20:N20">
    <cfRule type="expression" dxfId="2" priority="3" stopIfTrue="1">
      <formula>$K20&lt;$M$9</formula>
    </cfRule>
  </conditionalFormatting>
  <conditionalFormatting sqref="K21:N21">
    <cfRule type="expression" dxfId="1" priority="2" stopIfTrue="1">
      <formula>$K21&gt;$K$6</formula>
    </cfRule>
  </conditionalFormatting>
  <conditionalFormatting sqref="K27:K32">
    <cfRule type="expression" dxfId="0" priority="1">
      <formula>K27="n/a"</formula>
    </cfRule>
  </conditionalFormatting>
  <dataValidations count="3">
    <dataValidation type="list" allowBlank="1" showInputMessage="1" showErrorMessage="1" sqref="L8">
      <formula1>L_TorqueUnits</formula1>
    </dataValidation>
    <dataValidation type="list" allowBlank="1" showInputMessage="1" showErrorMessage="1" sqref="L7">
      <formula1>L_SpeedUnits</formula1>
    </dataValidation>
    <dataValidation type="list" allowBlank="1" showInputMessage="1" showErrorMessage="1" sqref="B4">
      <formula1>L_Motors</formula1>
    </dataValidation>
  </dataValidations>
  <printOptions horizontalCentered="1" verticalCentered="1"/>
  <pageMargins left="0.2" right="0.2" top="0.2" bottom="0.2" header="0.5" footer="0.5"/>
  <pageSetup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Scroll Bar 2">
              <controlPr defaultSiz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26</vt:i4>
      </vt:variant>
    </vt:vector>
  </HeadingPairs>
  <TitlesOfParts>
    <vt:vector size="30" baseType="lpstr">
      <vt:lpstr>Formulas</vt:lpstr>
      <vt:lpstr>Specs</vt:lpstr>
      <vt:lpstr>Calculation</vt:lpstr>
      <vt:lpstr>Perfomance</vt:lpstr>
      <vt:lpstr>Current</vt:lpstr>
      <vt:lpstr>DesignName</vt:lpstr>
      <vt:lpstr>DesignPower</vt:lpstr>
      <vt:lpstr>DesignSpeed</vt:lpstr>
      <vt:lpstr>DesignSpeedUnits</vt:lpstr>
      <vt:lpstr>DesignTorque</vt:lpstr>
      <vt:lpstr>DesignTorqueUnits</vt:lpstr>
      <vt:lpstr>Efficiency</vt:lpstr>
      <vt:lpstr>Fuse</vt:lpstr>
      <vt:lpstr>GearEfficiency1</vt:lpstr>
      <vt:lpstr>GearEfficiency2</vt:lpstr>
      <vt:lpstr>GearInterfaces1</vt:lpstr>
      <vt:lpstr>GearInterfaces2</vt:lpstr>
      <vt:lpstr>GearRatio</vt:lpstr>
      <vt:lpstr>H_SpecSheetHome</vt:lpstr>
      <vt:lpstr>L_SpeedUnits</vt:lpstr>
      <vt:lpstr>L_TorqueUnits</vt:lpstr>
      <vt:lpstr>Motor</vt:lpstr>
      <vt:lpstr>MotorsAvailable</vt:lpstr>
      <vt:lpstr>OperatingVoltage</vt:lpstr>
      <vt:lpstr>Power</vt:lpstr>
      <vt:lpstr>Perfomance!Print_Area</vt:lpstr>
      <vt:lpstr>Speed</vt:lpstr>
      <vt:lpstr>Torque</vt:lpstr>
      <vt:lpstr>V_MotorCount</vt:lpstr>
      <vt:lpstr>V_QuadB</vt:lpstr>
    </vt:vector>
  </TitlesOfParts>
  <Company>Home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Guest</dc:creator>
  <cp:lastModifiedBy>Bruce</cp:lastModifiedBy>
  <cp:lastPrinted>2010-03-02T07:29:36Z</cp:lastPrinted>
  <dcterms:created xsi:type="dcterms:W3CDTF">2007-12-28T21:38:43Z</dcterms:created>
  <dcterms:modified xsi:type="dcterms:W3CDTF">2013-05-03T06:01:16Z</dcterms:modified>
</cp:coreProperties>
</file>